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需求" sheetId="2" r:id="rId5"/>
    <sheet name="硬件拆解" sheetId="3" r:id="rId6"/>
    <sheet name="软件拆解" sheetId="4" r:id="rId7"/>
    <sheet name="问题汇总" sheetId="5" r:id="rId8"/>
    <sheet name="任务排期" sheetId="6" r:id="rId9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<sst xmlns="http://schemas.openxmlformats.org/spreadsheetml/2006/main" count="12" uniqueCount="12">
  <si>
    <t xml:space="preserve">  </t>
  </si>
  <si>
    <t/>
    <r>
      <rPr>
        <sz val="10.5"/>
        <color rgb="FF000000"/>
        <rFont val="Calibri"/>
        <family val="2"/>
      </rPr>
      <t xml:space="preserve">• 框选：矩形/多边形
 • 禁区：虚拟墙、圆形禁区
 • </t>
    </r>
    <r>
      <rPr>
        <sz val="10.5"/>
        <color rgb="FFF54A45"/>
        <rFont val="Calibri"/>
        <family val="2"/>
      </rPr>
      <t xml:space="preserve">路径点：起点、终点、途经点
</t>
    </r>
    <r>
      <rPr>
        <sz val="10.5"/>
        <color rgb="FF000000"/>
        <rFont val="Calibri"/>
        <family val="2"/>
      </rPr>
      <t xml:space="preserve"> • 撤销/重做（历史栈≥20步）</t>
    </r>
  </si>
  <si>
    <t/>
    <r>
      <rPr>
        <sz val="10.5"/>
        <color rgb="FF373C43"/>
        <rFont val="Calibri"/>
        <family val="2"/>
      </rPr>
      <t xml:space="preserve">• 参数范围检查（速度0.1-1.0m/s）
 • 禁区冲突检查
</t>
    </r>
    <r>
      <rPr>
        <sz val="10.5"/>
        <color rgb="FFD83931"/>
        <rFont val="Calibri"/>
        <family val="2"/>
      </rPr>
      <t xml:space="preserve"> • 确认对话框
 • 下发进度显示</t>
    </r>
  </si>
  <si>
    <t/>
    <r>
      <rPr>
        <sz val="10.5"/>
        <color rgb="FF000000"/>
        <rFont val="Calibri"/>
        <family val="2"/>
      </rPr>
      <t xml:space="preserve">• 报警分级：提示（蓝）、警告（黄）、危险（红）
 • 声音提示（可开关）
 • 推送通知（后台时）
 • </t>
    </r>
    <r>
      <rPr>
        <sz val="10.5"/>
        <color rgb="FFD83931"/>
        <rFont val="Calibri"/>
        <family val="2"/>
      </rPr>
      <t>一键处理（暂停/确认）</t>
    </r>
  </si>
  <si>
    <t/>
    <r>
      <rPr>
        <b/>
        <sz val="9.75"/>
        <color rgb="FF1F1F1F"/>
        <rFont val="Calibri"/>
        <family val="2"/>
      </rPr>
      <t>二、安卓核心研发阶段</t>
    </r>
    <r>
      <t xml:space="preserve">
</t>
    </r>
    <r>
      <rPr>
        <i/>
        <sz val="9.75"/>
        <color rgb="FF1F1F1F"/>
        <rFont val="Calibri"/>
        <family val="2"/>
      </rPr>
      <t>(项目瓶颈期)</t>
    </r>
  </si>
  <si>
    <t/>
    <r>
      <t xml:space="preserve">1. 混合架构搭建与 JS Bridge 封装
2. Wi-Fi AP / 蓝牙辅助配网与设备连接状态机
3. </t>
    </r>
    <r>
      <rPr>
        <b/>
        <sz val="9.75"/>
        <color rgb="FF1F1F1F"/>
        <rFont val="Calibri"/>
        <family val="2"/>
      </rPr>
      <t>[难点]</t>
    </r>
    <r>
      <t xml:space="preserve"> OpenGL/Mapbox 实时地图渲染与编辑工具
4. </t>
    </r>
    <r>
      <rPr>
        <b/>
        <sz val="9.75"/>
        <color rgb="FF1F1F1F"/>
        <rFont val="Calibri"/>
        <family val="2"/>
      </rPr>
      <t>[难点]</t>
    </r>
    <r>
      <t xml:space="preserve"> 低延迟视频流接入与 AR 轨迹叠加验证
5. 离线缓存策略与工艺参数表单逻辑开发</t>
    </r>
  </si>
  <si>
    <t/>
    <r>
      <rPr>
        <b/>
        <sz val="9.75"/>
        <color rgb="FF1F1F1F"/>
        <rFont val="Calibri"/>
        <family val="2"/>
      </rPr>
      <t>三、软硬联调与测试交付</t>
    </r>
    <r>
      <t xml:space="preserve">
</t>
    </r>
    <r>
      <rPr>
        <i/>
        <sz val="9.75"/>
        <color rgb="FF1F1F1F"/>
        <rFont val="Calibri"/>
        <family val="2"/>
      </rPr>
      <t>(实车测试)</t>
    </r>
  </si>
  <si>
    <t/>
    <r>
      <rPr>
        <sz val="10.5"/>
        <color theme="10"/>
        <rFont val="Calibri"/>
        <family val="2"/>
      </rPr>
      <t>@夏树斌</t>
    </r>
  </si>
  <si>
    <t/>
    <r>
      <rPr>
        <sz val="9.75"/>
        <color theme="10"/>
        <rFont val="Calibri"/>
        <family val="2"/>
      </rPr>
      <t>@孙梦杰</t>
    </r>
    <r>
      <rPr>
        <sz val="9.75"/>
        <color theme="10"/>
        <rFont val="Calibri"/>
        <family val="2"/>
      </rPr>
      <t>@杨鹏</t>
    </r>
  </si>
  <si>
    <t/>
    <r>
      <rPr>
        <sz val="9.75"/>
        <color theme="10"/>
        <rFont val="Calibri"/>
        <family val="2"/>
      </rPr>
      <t>@林季勇</t>
    </r>
  </si>
  <si>
    <t/>
    <r>
      <rPr>
        <sz val="9.75"/>
        <color theme="10"/>
        <rFont val="Calibri"/>
        <family val="2"/>
      </rPr>
      <t>@陈成</t>
    </r>
  </si>
  <si>
    <t/>
    <r>
      <t xml:space="preserve">使用日期提醒，到期自动通知
</t>
    </r>
    <r>
      <t>你可通过数据验证，保证数据规范。</t>
    </r>
    <r>
      <rPr>
        <u/>
        <sz val="9"/>
        <color theme="10"/>
        <rFont val="Calibri"/>
        <family val="2"/>
      </rPr>
      <t>了解更多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</si>
</sst>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0%"/>
    <numFmt numFmtId="165" formatCode="yyyy/m/d"/>
    <numFmt numFmtId="166" formatCode="yyyy/m/d"/>
    <numFmt numFmtId="167" formatCode="0"/>
    <numFmt numFmtId="168" formatCode="d-mmm"/>
    <numFmt numFmtId="169" formatCode="yyyy/m/d"/>
    <numFmt numFmtId="170" formatCode="yyyy/m/d"/>
  </numFmts>
  <fonts count="23">
    <font>
      <sz val="10"/>
      <color theme="1"/>
      <name val="Calibri"/>
      <family val="2"/>
      <scheme val="minor"/>
    </font>
    <font>
      <i val="true"/>
      <sz val="9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9C0006"/>
      <name val="Calibri"/>
      <family val="2"/>
      <scheme val="minor"/>
    </font>
    <font>
      <b val="true"/>
      <sz val="10.5"/>
      <color rgb="FFC00000"/>
      <name val="Calibri"/>
      <family val="2"/>
      <scheme val="minor"/>
    </font>
    <font>
      <sz val="10.5"/>
      <color rgb="FFF76964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0.5"/>
      <color rgb="FFE36C0A"/>
      <name val="Calibri"/>
      <family val="2"/>
      <scheme val="minor"/>
    </font>
    <font>
      <sz val="10.5"/>
      <color rgb="FF9C5700"/>
      <name val="Calibri"/>
      <family val="2"/>
      <scheme val="minor"/>
    </font>
    <font>
      <b val="true"/>
      <sz val="10.5"/>
      <color rgb="FFFFFFFF"/>
      <name val="Calibri"/>
      <family val="2"/>
      <scheme val="minor"/>
    </font>
    <font>
      <sz val="10.5"/>
      <color rgb="FFD83931"/>
      <name val="Calibri"/>
      <family val="2"/>
      <scheme val="minor"/>
    </font>
    <font>
      <b val="true"/>
      <sz val="13.5"/>
      <color rgb="FFFFFFFF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1F1F"/>
      <name val="Calibri"/>
      <family val="2"/>
      <scheme val="minor"/>
    </font>
    <font>
      <b val="true"/>
      <sz val="9.75"/>
      <color rgb="FF1F1F1F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1F2329"/>
      <name val="Calibri"/>
      <family val="2"/>
      <scheme val="minor"/>
    </font>
    <font>
      <b val="true"/>
      <sz val="12"/>
      <color rgb="FFFFFFFF"/>
      <name val="Calibri"/>
      <family val="2"/>
      <scheme val="minor"/>
    </font>
    <font>
      <sz val="9.75"/>
      <color rgb="FF112233"/>
      <name val="Calibri"/>
      <family val="2"/>
      <scheme val="minor"/>
    </font>
    <font>
      <sz val="9.75"/>
      <color rgb="FF9E9E9E"/>
      <name val="Calibri"/>
      <family val="2"/>
      <scheme val="minor"/>
    </font>
    <font>
      <sz val="9"/>
      <color rgb="FF8F959E"/>
      <name val="Calibri"/>
      <family val="2"/>
      <scheme val="minor"/>
    </font>
    <font>
      <b val="true"/>
      <sz val="9.75"/>
      <color rgb="FF112233"/>
      <name val="Calibri"/>
      <family val="2"/>
      <scheme val="minor"/>
    </font>
  </fonts>
  <fills count="21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C7CE"/>
        <bgColor/>
      </patternFill>
    </fill>
    <fill>
      <patternFill patternType="solid">
        <fgColor rgb="FFFFEB9C"/>
        <bgColor/>
      </patternFill>
    </fill>
    <fill>
      <patternFill patternType="solid">
        <fgColor rgb="FF366092"/>
        <bgColor/>
      </patternFill>
    </fill>
    <fill>
      <patternFill patternType="solid">
        <fgColor rgb="FF366092"/>
        <bgColor/>
      </patternFill>
    </fill>
    <fill>
      <patternFill patternType="solid">
        <fgColor rgb="FF1F4E78"/>
        <bgColor/>
      </patternFill>
    </fill>
    <fill>
      <patternFill patternType="solid">
        <fgColor rgb="FFFBBFBC"/>
        <bgColor/>
      </patternFill>
    </fill>
    <fill>
      <patternFill patternType="solid">
        <fgColor rgb="FFEFEFEF"/>
        <bgColor/>
      </patternFill>
    </fill>
    <fill>
      <patternFill patternType="solid">
        <fgColor rgb="FFEFEFEF"/>
        <bgColor/>
      </patternFill>
    </fill>
    <fill>
      <patternFill patternType="solid">
        <fgColor rgb="FF4E83FD"/>
        <bgColor/>
      </patternFill>
    </fill>
    <fill>
      <patternFill patternType="solid">
        <fgColor rgb="FF4E83FD"/>
        <bgColor/>
      </patternFill>
    </fill>
    <fill>
      <patternFill patternType="solid">
        <fgColor rgb="FF4E83FD"/>
        <bgColor/>
      </patternFill>
    </fill>
    <fill>
      <patternFill patternType="solid">
        <fgColor rgb="FF4E83FD"/>
        <bgColor/>
      </patternFill>
    </fill>
    <fill>
      <patternFill patternType="solid">
        <fgColor rgb="FFFAF1D1"/>
        <bgColor/>
      </patternFill>
    </fill>
    <fill>
      <patternFill patternType="solid">
        <fgColor rgb="FFF5F6F7"/>
        <bgColor/>
      </patternFill>
    </fill>
    <fill>
      <patternFill patternType="solid">
        <fgColor rgb="FFF5F6F7"/>
        <bgColor/>
      </patternFill>
    </fill>
    <fill>
      <patternFill patternType="solid">
        <fgColor rgb="FFF5F6F7"/>
        <bgColor/>
      </patternFill>
    </fill>
    <fill>
      <patternFill patternType="solid">
        <fgColor rgb="FFF5F6F7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</fills>
  <borders count="5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vertical="top" wrapText="true"/>
    </xf>
    <xf applyAlignment="true" applyBorder="false" applyFill="false" applyFont="true" applyNumberFormat="false" applyProtection="false" borderId="3" fillId="0" fontId="2" numFmtId="0" xfId="0">
      <alignment vertical="top" wrapText="true"/>
    </xf>
    <xf applyAlignment="true" applyBorder="false" applyFill="true" applyFont="true" applyNumberFormat="false" applyProtection="false" borderId="4" fillId="2" fontId="3" numFmtId="0" xfId="0">
      <alignment vertical="top" wrapText="true"/>
    </xf>
    <xf applyAlignment="true" applyBorder="false" applyFill="false" applyFont="true" applyNumberFormat="false" applyProtection="false" borderId="5" fillId="0" fontId="4" numFmtId="0" xfId="0">
      <alignment vertical="top" wrapText="true"/>
    </xf>
    <xf applyAlignment="true" applyBorder="false" applyFill="false" applyFont="true" applyNumberFormat="false" applyProtection="false" borderId="6" fillId="0" fontId="5" numFmtId="0" xfId="0">
      <alignment vertical="top" wrapText="true"/>
    </xf>
    <xf applyAlignment="true" applyBorder="false" applyFill="false" applyFont="true" applyNumberFormat="false" applyProtection="false" borderId="7" fillId="0" fontId="6" numFmtId="0" xfId="0">
      <alignment vertical="center"/>
    </xf>
    <xf applyAlignment="true" applyBorder="false" applyFill="false" applyFont="true" applyNumberFormat="false" applyProtection="false" borderId="8" fillId="0" fontId="7" numFmtId="0" xfId="0">
      <alignment vertical="top" wrapText="true"/>
    </xf>
    <xf applyAlignment="true" applyBorder="false" applyFill="true" applyFont="true" applyNumberFormat="false" applyProtection="false" borderId="9" fillId="3" fontId="8" numFmtId="0" xfId="0">
      <alignment vertical="top" wrapText="true"/>
    </xf>
    <xf applyAlignment="true" applyBorder="false" applyFill="true" applyFont="true" applyNumberFormat="false" applyProtection="false" borderId="10" fillId="4" fontId="9" numFmtId="0" xfId="0">
      <alignment horizontal="center" vertical="center" wrapText="true"/>
    </xf>
    <xf applyAlignment="true" applyBorder="false" applyFill="true" applyFont="true" applyNumberFormat="false" applyProtection="false" borderId="11" fillId="5" fontId="9" numFmtId="0" xfId="0">
      <alignment horizontal="center" vertical="center" wrapText="true"/>
    </xf>
    <xf applyAlignment="true" applyBorder="false" applyFill="false" applyFont="true" applyNumberFormat="false" applyProtection="false" borderId="12" fillId="0" fontId="10" numFmtId="0" xfId="0">
      <alignment vertical="top" wrapText="true"/>
    </xf>
    <xf applyAlignment="true" applyBorder="false" applyFill="true" applyFont="true" applyNumberFormat="false" applyProtection="false" borderId="13" fillId="6" fontId="11" numFmtId="0" xfId="0">
      <alignment horizontal="center" vertical="center"/>
    </xf>
    <xf applyAlignment="true" applyBorder="false" applyFill="false" applyFont="true" applyNumberFormat="false" applyProtection="false" borderId="14" fillId="0" fontId="6" numFmtId="0" xfId="0">
      <alignment vertical="center" wrapText="true"/>
    </xf>
    <xf applyAlignment="true" applyBorder="false" applyFill="false" applyFont="true" applyNumberFormat="false" applyProtection="false" borderId="15" fillId="0" fontId="12" numFmtId="0" xfId="0">
      <alignment vertical="center"/>
    </xf>
    <xf applyAlignment="true" applyBorder="false" applyFill="false" applyFont="true" applyNumberFormat="false" applyProtection="false" borderId="16" fillId="0" fontId="13" numFmtId="0" xfId="0">
      <alignment vertical="center" wrapText="true"/>
    </xf>
    <xf applyAlignment="true" applyBorder="false" applyFill="false" applyFont="true" applyNumberFormat="false" applyProtection="false" borderId="17" fillId="0" fontId="14" numFmtId="0" xfId="0">
      <alignment vertical="center" wrapText="true"/>
    </xf>
    <xf applyAlignment="true" applyBorder="false" applyFill="false" applyFont="true" applyNumberFormat="false" applyProtection="false" borderId="18" fillId="0" fontId="13" numFmtId="0" xfId="0">
      <alignment vertical="center" wrapText="true"/>
    </xf>
    <xf applyAlignment="true" applyBorder="false" applyFill="true" applyFont="true" applyNumberFormat="false" applyProtection="false" borderId="19" fillId="7" fontId="13" numFmtId="0" xfId="0">
      <alignment vertical="center" wrapText="true"/>
    </xf>
    <xf applyAlignment="true" applyBorder="false" applyFill="false" applyFont="true" applyNumberFormat="false" applyProtection="false" borderId="20" fillId="0" fontId="15" numFmtId="0" xfId="0">
      <alignment vertical="center"/>
    </xf>
    <xf applyAlignment="true" applyBorder="false" applyFill="true" applyFont="true" applyNumberFormat="false" applyProtection="false" borderId="21" fillId="8" fontId="14" numFmtId="0" xfId="0">
      <alignment vertical="center" wrapText="true"/>
    </xf>
    <xf applyAlignment="true" applyBorder="false" applyFill="true" applyFont="true" applyNumberFormat="false" applyProtection="false" borderId="22" fillId="9" fontId="14" numFmtId="0" xfId="0">
      <alignment vertical="center" wrapText="true"/>
    </xf>
    <xf applyAlignment="true" applyBorder="false" applyFill="false" applyFont="true" applyNumberFormat="false" applyProtection="false" borderId="23" fillId="0" fontId="16" numFmtId="0" xfId="0">
      <alignment vertical="center"/>
    </xf>
    <xf applyAlignment="true" applyBorder="false" applyFill="false" applyFont="true" applyNumberFormat="true" applyProtection="false" borderId="24" fillId="0" fontId="14" numFmtId="164" xfId="0">
      <alignment vertical="center" wrapText="true"/>
    </xf>
    <xf applyAlignment="true" applyBorder="false" applyFill="false" applyFont="true" applyNumberFormat="false" applyProtection="false" borderId="25" fillId="0" fontId="12" numFmtId="0" xfId="0">
      <alignment horizontal="center" vertical="center"/>
    </xf>
    <xf applyAlignment="true" applyBorder="false" applyFill="false" applyFont="true" applyNumberFormat="false" applyProtection="false" borderId="26" fillId="0" fontId="12" numFmtId="0" xfId="0">
      <alignment vertical="bottom"/>
    </xf>
    <xf applyAlignment="true" applyBorder="false" applyFill="false" applyFont="true" applyNumberFormat="false" applyProtection="false" borderId="27" fillId="0" fontId="12" numFmtId="0" xfId="0">
      <alignment horizontal="center" vertical="bottom"/>
    </xf>
    <xf applyAlignment="true" applyBorder="false" applyFill="false" applyFont="true" applyNumberFormat="true" applyProtection="false" borderId="28" fillId="0" fontId="12" numFmtId="165" xfId="0">
      <alignment horizontal="center" vertical="center"/>
    </xf>
    <xf applyAlignment="true" applyBorder="false" applyFill="false" applyFont="true" applyNumberFormat="false" applyProtection="false" borderId="29" fillId="0" fontId="2" numFmtId="0" xfId="0">
      <alignment horizontal="center" vertical="center"/>
    </xf>
    <xf applyAlignment="true" applyBorder="false" applyFill="false" applyFont="true" applyNumberFormat="false" applyProtection="false" borderId="30" fillId="0" fontId="6" numFmtId="0" xfId="0">
      <alignment horizontal="center" vertical="center"/>
    </xf>
    <xf applyAlignment="true" applyBorder="false" applyFill="false" applyFont="true" applyNumberFormat="false" applyProtection="false" borderId="31" fillId="0" fontId="17" numFmtId="0" xfId="0">
      <alignment horizontal="center" vertical="center"/>
    </xf>
    <xf applyAlignment="true" applyBorder="false" applyFill="false" applyFont="true" applyNumberFormat="true" applyProtection="false" borderId="32" fillId="0" fontId="12" numFmtId="166" xfId="0">
      <alignment horizontal="center" vertical="bottom"/>
    </xf>
    <xf applyAlignment="true" applyBorder="false" applyFill="true" applyFont="true" applyNumberFormat="false" applyProtection="false" borderId="33" fillId="10" fontId="18" numFmtId="0" xfId="0">
      <alignment horizontal="center" vertical="center"/>
    </xf>
    <xf applyAlignment="true" applyBorder="false" applyFill="true" applyFont="true" applyNumberFormat="true" applyProtection="false" borderId="34" fillId="11" fontId="18" numFmtId="167" xfId="0">
      <alignment horizontal="center" vertical="center"/>
    </xf>
    <xf applyAlignment="true" applyBorder="false" applyFill="true" applyFont="true" applyNumberFormat="false" applyProtection="false" borderId="35" fillId="12" fontId="18" numFmtId="0" xfId="0">
      <alignment horizontal="center" vertical="center" wrapText="true"/>
    </xf>
    <xf applyAlignment="true" applyBorder="false" applyFill="true" applyFont="true" applyNumberFormat="true" applyProtection="false" borderId="36" fillId="13" fontId="18" numFmtId="168" xfId="0">
      <alignment horizontal="center" vertical="center"/>
    </xf>
    <xf applyAlignment="true" applyBorder="false" applyFill="false" applyFont="true" applyNumberFormat="true" applyProtection="false" borderId="37" fillId="0" fontId="19" numFmtId="169" xfId="0">
      <alignment horizontal="center" vertical="center"/>
    </xf>
    <xf applyAlignment="true" applyBorder="false" applyFill="false" applyFont="true" applyNumberFormat="false" applyProtection="false" borderId="38" fillId="0" fontId="2" numFmtId="0" xfId="0">
      <alignment horizontal="center" vertical="bottom"/>
    </xf>
    <xf applyAlignment="true" applyBorder="false" applyFill="false" applyFont="true" applyNumberFormat="false" applyProtection="false" borderId="39" fillId="0" fontId="19" numFmtId="0" xfId="0">
      <alignment horizontal="center" vertical="center"/>
    </xf>
    <xf applyAlignment="true" applyBorder="false" applyFill="false" applyFont="true" applyNumberFormat="false" applyProtection="false" borderId="40" fillId="0" fontId="19" numFmtId="0" xfId="0">
      <alignment vertical="bottom"/>
    </xf>
    <xf applyAlignment="true" applyBorder="false" applyFill="false" applyFont="true" applyNumberFormat="false" applyProtection="false" borderId="41" fillId="0" fontId="2" numFmtId="0" xfId="0">
      <alignment horizontal="center" vertical="bottom" wrapText="true"/>
    </xf>
    <xf applyAlignment="true" applyBorder="false" applyFill="false" applyFont="true" applyNumberFormat="false" applyProtection="false" borderId="42" fillId="0" fontId="20" numFmtId="0" xfId="0">
      <alignment horizontal="center" vertical="center"/>
    </xf>
    <xf applyAlignment="true" applyBorder="false" applyFill="true" applyFont="true" applyNumberFormat="false" applyProtection="false" borderId="43" fillId="14" fontId="19" numFmtId="0" xfId="0">
      <alignment horizontal="center" vertical="center"/>
    </xf>
    <xf applyAlignment="true" applyBorder="false" applyFill="false" applyFont="true" applyNumberFormat="false" applyProtection="false" borderId="44" fillId="0" fontId="21" numFmtId="0" xfId="0">
      <alignment horizontal="center" vertical="center" wrapText="true"/>
    </xf>
    <xf applyAlignment="true" applyBorder="false" applyFill="false" applyFont="true" applyNumberFormat="false" applyProtection="false" borderId="45" fillId="0" fontId="21" numFmtId="0" xfId="0">
      <alignment horizontal="left" vertical="center"/>
    </xf>
    <xf applyAlignment="true" applyBorder="false" applyFill="true" applyFont="true" applyNumberFormat="false" applyProtection="false" borderId="46" fillId="15" fontId="20" numFmtId="0" xfId="0">
      <alignment horizontal="center" vertical="center"/>
    </xf>
    <xf applyAlignment="true" applyBorder="false" applyFill="true" applyFont="true" applyNumberFormat="false" applyProtection="false" borderId="47" fillId="16" fontId="17" numFmtId="0" xfId="0">
      <alignment horizontal="center" vertical="center"/>
    </xf>
    <xf applyAlignment="true" applyBorder="false" applyFill="true" applyFont="true" applyNumberFormat="false" applyProtection="false" borderId="48" fillId="17" fontId="19" numFmtId="0" xfId="0">
      <alignment horizontal="center" vertical="center"/>
    </xf>
    <xf applyAlignment="true" applyBorder="false" applyFill="false" applyFont="true" applyNumberFormat="false" applyProtection="false" borderId="49" fillId="0" fontId="21" numFmtId="0" xfId="0">
      <alignment horizontal="center" vertical="center"/>
    </xf>
    <xf applyAlignment="true" applyBorder="false" applyFill="true" applyFont="true" applyNumberFormat="false" applyProtection="false" borderId="50" fillId="18" fontId="21" numFmtId="0" xfId="0">
      <alignment horizontal="center" vertical="center" wrapText="true"/>
    </xf>
    <xf applyAlignment="true" applyBorder="false" applyFill="true" applyFont="true" applyNumberFormat="false" applyProtection="false" borderId="51" fillId="19" fontId="20" numFmtId="0" xfId="0">
      <alignment horizontal="center" vertical="center"/>
    </xf>
    <xf applyAlignment="true" applyBorder="false" applyFill="true" applyFont="true" applyNumberFormat="false" applyProtection="false" borderId="52" fillId="20" fontId="19" numFmtId="0" xfId="0">
      <alignment horizontal="center" vertical="center"/>
    </xf>
    <xf applyAlignment="true" applyBorder="false" applyFill="false" applyFont="true" applyNumberFormat="true" applyProtection="false" borderId="53" fillId="0" fontId="22" numFmtId="170" xfId="0">
      <alignment horizontal="center" vertical="center"/>
    </xf>
    <xf applyAlignment="true" applyBorder="false" applyFill="false" applyFont="true" applyNumberFormat="false" applyProtection="false" borderId="54" fillId="0" fontId="19" numFmtId="0" xfId="0">
      <alignment horizontal="lef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
<Relationships xmlns="http://schemas.openxmlformats.org/package/2006/relationships"><Relationship Id="rId1" Target="https://www.feishu.cn/hc/zh-CN/articles/166812667987#lineguid-Wnrjh4" Type="http://schemas.openxmlformats.org/officeDocument/2006/relationships/hyperlink" TargetMode="External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3" min="3" style="0" width="17"/>
    <col collapsed="false" customWidth="true" hidden="false" max="4" min="4" style="0" width="33"/>
    <col collapsed="false" customWidth="true" hidden="false" max="8" min="8" style="0" width="39"/>
    <col collapsed="false" customWidth="true" hidden="false" max="11" min="11" style="0" width="17"/>
  </cols>
  <sheetData>
    <row r="1">
      <c r="A1" s="13" t="str">
        <v>地坪研磨机器人智能升级项目（增强版） - 四、用户终端(APP)</v>
      </c>
      <c r="B1" s="13"/>
      <c r="C1" s="13"/>
      <c r="D1" s="13"/>
      <c r="E1" s="13"/>
      <c r="F1" s="13"/>
      <c r="G1" s="13"/>
      <c r="H1" s="13"/>
      <c r="I1" s="13"/>
      <c r="J1" s="13"/>
    </row>
    <row r="2">
      <c r="A2" s="1" t="str">
        <v>更新日期：2026-03-02 | 文档版本：v1.0 | 密级：内部公开</v>
      </c>
      <c r="B2" s="1"/>
      <c r="C2" s="1"/>
      <c r="D2" s="1"/>
      <c r="E2" s="1"/>
      <c r="F2" s="1"/>
      <c r="G2" s="1"/>
      <c r="H2" s="1"/>
      <c r="I2" s="1"/>
      <c r="J2" s="1"/>
    </row>
    <row r="3">
      <c r="A3" s="11" t="str">
        <v>模块大类</v>
      </c>
      <c r="B3" s="10" t="str">
        <v>模块名称</v>
      </c>
      <c r="C3" s="10" t="str">
        <v>需求项</v>
      </c>
      <c r="D3" s="10" t="str">
        <v>详细描述</v>
      </c>
      <c r="E3" s="10" t="str">
        <v>优先级</v>
      </c>
      <c r="F3" s="10" t="str">
        <v>阶段</v>
      </c>
      <c r="G3" s="10" t="str">
        <v>必须/建议</v>
      </c>
      <c r="H3" s="10" t="str">
        <v>技术规格/验收标准</v>
      </c>
      <c r="I3" s="10" t="str">
        <v>依赖/供应商</v>
      </c>
      <c r="J3" s="10" t="str">
        <v>目标版本</v>
      </c>
    </row>
    <row r="4">
      <c r="A4" s="2" t="str">
        <v>设备连接</v>
      </c>
      <c r="B4" s="3" t="str">
        <v>发现与配网</v>
      </c>
      <c r="C4" s="3" t="str">
        <v>Wi-Fi热点扫描</v>
      </c>
      <c r="D4" s="3" t="str">
        <v>扫描并显示附近的GRINDER_*热点</v>
      </c>
      <c r="E4" s="4" t="str">
        <v>高</v>
      </c>
      <c r="F4" s="5" t="str">
        <v>P0</v>
      </c>
      <c r="G4" s="3" t="str">
        <v>必须</v>
      </c>
      <c r="H4" s="3" t="str">
        <v>• 原生APP实现（Android/iOS）
 • 信号强度排序（RSSI&gt;-70dBm优先）
 • 支持密码记忆（Keychain/Keystore）</v>
      </c>
      <c r="I4" s="3" t="str">
        <v>原生开发</v>
      </c>
      <c r="J4" s="3" t="str">
        <v>v1.0</v>
      </c>
    </row>
    <row r="5">
      <c r="A5" s="2" t="str">
        <v>设备连接</v>
      </c>
      <c r="B5" s="3" t="str">
        <v>发现与配网</v>
      </c>
      <c r="C5" s="3" t="str">
        <v>蓝牙辅助配网</v>
      </c>
      <c r="D5" s="3" t="str">
        <v>BLE辅助Wi-Fi配网（SmartConfig替代方案）</v>
      </c>
      <c r="E5" s="9" t="str">
        <v>中</v>
      </c>
      <c r="F5" s="8" t="str">
        <v>P1</v>
      </c>
      <c r="G5" s="3" t="str">
        <v>建议</v>
      </c>
      <c r="H5" s="3" t="str" xml:space="preserve">
        <v> </v>
      </c>
      <c r="I5" s="3" t="str">
        <v>BLE SDK</v>
      </c>
      <c r="J5" s="3" t="str">
        <v>v1.1</v>
      </c>
    </row>
    <row r="6">
      <c r="A6" s="2" t="str">
        <v>设备连接</v>
      </c>
      <c r="B6" s="3" t="str">
        <v>发现与配网</v>
      </c>
      <c r="C6" s="3" t="str">
        <v>配网后自动跳转</v>
      </c>
      <c r="D6" s="3" t="str">
        <v>配网成功后自动切换至内嵌网页</v>
      </c>
      <c r="E6" s="4" t="str">
        <v>高</v>
      </c>
      <c r="F6" s="5" t="str">
        <v>P0</v>
      </c>
      <c r="G6" s="3" t="str">
        <v>必须</v>
      </c>
      <c r="H6" s="3" t="str">
        <v>• 检测HTTP服务可用性（GET /health）
 • WebView加载本地管理页面
 • 自动填充设备IP</v>
      </c>
      <c r="I6" s="3" t="str">
        <v>WebView</v>
      </c>
      <c r="J6" s="3" t="str">
        <v>v1.0</v>
      </c>
    </row>
    <row r="7">
      <c r="A7" s="2" t="str">
        <v>地图管理</v>
      </c>
      <c r="B7" s="3" t="str">
        <v>实时建图</v>
      </c>
      <c r="C7" s="3" t="str">
        <v>地图编辑工具</v>
      </c>
      <c r="D7" s="3" t="str">
        <v>框选作业区、绘制禁区、设置路径点</v>
      </c>
      <c r="E7" s="4" t="str">
        <v>高</v>
      </c>
      <c r="F7" s="5" t="str">
        <v>P0</v>
      </c>
      <c r="G7" s="3" t="str">
        <v>必须</v>
      </c>
      <c r="H7" s="3" t="s">
        <v>1</v>
      </c>
      <c r="I7" s="3" t="str">
        <v>地图编辑器</v>
      </c>
      <c r="J7" s="3" t="str">
        <v>v1.0</v>
      </c>
    </row>
    <row r="8">
      <c r="A8" s="2" t="str">
        <v>地图管理</v>
      </c>
      <c r="B8" s="3" t="str">
        <v>实时建图</v>
      </c>
      <c r="C8" s="3" t="str">
        <v>地图保存与同步</v>
      </c>
      <c r="D8" s="3" t="str">
        <v>编辑结果保存至盒子并同步云端</v>
      </c>
      <c r="E8" s="4" t="str">
        <v>高</v>
      </c>
      <c r="F8" s="5" t="str">
        <v>P0</v>
      </c>
      <c r="G8" s="3" t="str">
        <v>必须</v>
      </c>
      <c r="H8" s="3" t="str">
        <v>• 本地缓存（离线可用）
 • 冲突检测（版本号机制）
 • 增量同步</v>
      </c>
      <c r="I8" s="3" t="str">
        <v>数据同步</v>
      </c>
      <c r="J8" s="3" t="str">
        <v>v1.0</v>
      </c>
    </row>
    <row r="9">
      <c r="A9" s="2" t="str">
        <v>任务规划</v>
      </c>
      <c r="B9" s="3" t="str">
        <v>任务创建</v>
      </c>
      <c r="C9" s="3" t="str">
        <v>多区域参数配置</v>
      </c>
      <c r="D9" s="3" t="str">
        <v>在地图上设置多区域，每个区域独立工艺参数</v>
      </c>
      <c r="E9" s="4" t="str">
        <v>高</v>
      </c>
      <c r="F9" s="5" t="str">
        <v>P0</v>
      </c>
      <c r="G9" s="3" t="str">
        <v>必须</v>
      </c>
      <c r="H9" s="3" t="str">
        <v>• 区域属性：遍数、速度、压力、研磨模式（粗磨/精磨/抛光）
 • 区域优先级排序 
 • 路径方向设置（横向/纵向/自动）</v>
      </c>
      <c r="I9" s="3" t="str">
        <v>Web GIS</v>
      </c>
      <c r="J9" s="3" t="str">
        <v>v1.0</v>
      </c>
      <c r="K9" s="7" t="str">
        <v>几字型 宽度</v>
      </c>
    </row>
    <row r="10">
      <c r="A10" s="2" t="str">
        <v>任务规划</v>
      </c>
      <c r="B10" s="3" t="str">
        <v>任务创建</v>
      </c>
      <c r="C10" s="3" t="str">
        <v>路径预览</v>
      </c>
      <c r="D10" s="3" t="str">
        <v>生成并显示全覆盖路径预览</v>
      </c>
      <c r="E10" s="4" t="str">
        <v>高</v>
      </c>
      <c r="F10" s="5" t="str">
        <v>P0</v>
      </c>
      <c r="G10" s="3" t="str">
        <v>必须</v>
      </c>
      <c r="H10" s="6" t="str">
        <v>• 路径可视化：不同颜色区分遍数
 • 路径长度、预估时间计算
 • 碰撞检测预览</v>
      </c>
      <c r="I10" s="3" t="str">
        <v>路径规划可视化</v>
      </c>
      <c r="J10" s="3" t="str">
        <v>v1.0</v>
      </c>
      <c r="K10" s="7" t="str">
        <v>重叠区域颜色加深</v>
      </c>
    </row>
    <row r="11">
      <c r="A11" s="2" t="str">
        <v>任务规划</v>
      </c>
      <c r="B11" s="3" t="str">
        <v>任务下发</v>
      </c>
      <c r="C11" s="3" t="str">
        <v>任务验证与下发</v>
      </c>
      <c r="D11" s="3" t="str">
        <v>表单验证并下发任务至设备</v>
      </c>
      <c r="E11" s="4" t="str">
        <v>高</v>
      </c>
      <c r="F11" s="5" t="str">
        <v>P0</v>
      </c>
      <c r="G11" s="3" t="str">
        <v>必须</v>
      </c>
      <c r="H11" s="12" t="s">
        <v>2</v>
      </c>
      <c r="I11" s="3" t="str">
        <v>表单验证</v>
      </c>
      <c r="J11" s="3" t="str">
        <v>v1.0</v>
      </c>
    </row>
    <row r="12">
      <c r="A12" s="2" t="str">
        <v>监控界面</v>
      </c>
      <c r="B12" s="3" t="str">
        <v>数据监控</v>
      </c>
      <c r="C12" s="3" t="str">
        <v>实时状态面板</v>
      </c>
      <c r="D12" s="3" t="str">
        <v>显示位置、速度、电量、进度</v>
      </c>
      <c r="E12" s="4" t="str">
        <v>高</v>
      </c>
      <c r="F12" s="5" t="str">
        <v>P0</v>
      </c>
      <c r="G12" s="3" t="str">
        <v>必须</v>
      </c>
      <c r="H12" s="3" t="str">
        <v>• 位置：地图叠加显示（箭头方向）
 • 速度：仪表盘或数字显示
 • 电量：百分比+电压
 • 进度：百分比+已作业面积
 • 刷新率≥1Hz</v>
      </c>
      <c r="I12" s="3" t="str">
        <v>实时数据流</v>
      </c>
      <c r="J12" s="3" t="str">
        <v>v1.0</v>
      </c>
    </row>
    <row r="13">
      <c r="A13" s="2" t="str">
        <v>监控界面</v>
      </c>
      <c r="B13" s="3" t="str">
        <v>数据监控</v>
      </c>
      <c r="C13" s="3" t="str">
        <v>报警与通知</v>
      </c>
      <c r="D13" s="3" t="str">
        <v>障碍物、低电、故障等报警弹窗</v>
      </c>
      <c r="E13" s="4" t="str">
        <v>高</v>
      </c>
      <c r="F13" s="5" t="str">
        <v>P0</v>
      </c>
      <c r="G13" s="3" t="str">
        <v>必须</v>
      </c>
      <c r="H13" s="3" t="s">
        <v>3</v>
      </c>
      <c r="I13" s="3" t="str">
        <v>推送服务</v>
      </c>
      <c r="J13" s="3" t="str">
        <v>v1.0</v>
      </c>
    </row>
    <row r="14">
      <c r="A14" s="2" t="str">
        <v>视频</v>
      </c>
      <c r="B14" s="3" t="str">
        <v>视频流</v>
      </c>
      <c r="C14" s="3" t="str">
        <v>实时视频显示</v>
      </c>
      <c r="D14" s="3" t="str">
        <v>显示RGB相机实时视频流（H.264）</v>
      </c>
      <c r="E14" s="4" t="str">
        <v>高</v>
      </c>
      <c r="F14" s="5" t="str">
        <v>P0</v>
      </c>
      <c r="G14" s="3" t="str">
        <v>必须</v>
      </c>
      <c r="H14" s="3" t="str">
        <v>• 分辨率≥720p
 • 延迟≤300ms（局域网）
 • 支持横竖屏自适应
 • 码率自适应（网络质量）</v>
      </c>
      <c r="I14" s="3" t="str">
        <v>WebRTC/RTSP</v>
      </c>
      <c r="J14" s="3" t="str">
        <v>v1.0</v>
      </c>
    </row>
    <row customHeight="true" hidden="true" ht="19" r="15">
      <c r="A15" s="2" t="str">
        <v>视频/AR</v>
      </c>
      <c r="B15" s="3" t="str">
        <v>AR叠加</v>
      </c>
      <c r="C15" s="3" t="str">
        <v>增强现实显示</v>
      </c>
      <c r="D15" s="3" t="str">
        <v>在视频上叠加路径箭头、状态文本</v>
      </c>
      <c r="E15" s="9" t="str">
        <v>中</v>
      </c>
      <c r="F15" s="8" t="str">
        <v>P1</v>
      </c>
      <c r="G15" s="3" t="str">
        <v>建议</v>
      </c>
      <c r="H15" s="3" t="str">
        <v>• 路径箭头：基于当前位姿的行驶方向
 • 状态文本：速度、模式、报警信息
 • 半透明UI，不遮挡视频</v>
      </c>
      <c r="I15" s="3" t="str">
        <v>ARCore/ARKit</v>
      </c>
      <c r="J15" s="3" t="str">
        <v>v1.1</v>
      </c>
    </row>
    <row r="16">
      <c r="A16" s="2" t="str">
        <v>项目管理</v>
      </c>
      <c r="B16" s="3" t="str">
        <v>设备管理</v>
      </c>
      <c r="C16" s="3" t="str">
        <v>设备列表</v>
      </c>
      <c r="D16" s="3" t="str">
        <v>显示项目内所有设备状态</v>
      </c>
      <c r="E16" s="9" t="str">
        <v>中</v>
      </c>
      <c r="F16" s="8" t="str">
        <v>P1</v>
      </c>
      <c r="G16" s="3" t="str">
        <v>建议</v>
      </c>
      <c r="H16" s="3" t="str">
        <v>• 状态指示：在线（绿）、离线（灰）、报警（红）
 • 快速筛选：在线/离线/报警
 • 批量操作（固件升级、任务下发）</v>
      </c>
      <c r="I16" s="3" t="str">
        <v>列表组件</v>
      </c>
      <c r="J16" s="3" t="str">
        <v>v1.0</v>
      </c>
    </row>
    <row r="17">
      <c r="A17" s="2" t="str">
        <v>项目管理</v>
      </c>
      <c r="B17" s="3" t="str">
        <v>任务管理</v>
      </c>
      <c r="C17" s="3" t="str">
        <v>历史任务回放</v>
      </c>
      <c r="D17" s="3" t="str">
        <v>回放历史任务轨迹与事件</v>
      </c>
      <c r="E17" s="9" t="str">
        <v>中</v>
      </c>
      <c r="F17" s="8" t="str">
        <v>P1</v>
      </c>
      <c r="G17" s="3" t="str">
        <v>建议</v>
      </c>
      <c r="H17" s="3" t="str">
        <v>• 时间轴播放（播放/暂停/快进）
 • 轨迹热力图显示（速度/停留时间）
 • 事件标记点点击显示详情</v>
      </c>
      <c r="I17" s="3" t="str">
        <v>轨迹回放</v>
      </c>
      <c r="J17" s="3" t="str">
        <v>v1.1</v>
      </c>
    </row>
    <row r="18">
      <c r="A18" s="2" t="str">
        <v>项目管理</v>
      </c>
      <c r="B18" s="3" t="str">
        <v>报表中心</v>
      </c>
      <c r="C18" s="3" t="str">
        <v>作业报表</v>
      </c>
      <c r="D18" s="3" t="str">
        <v>查看并导出作业报表</v>
      </c>
      <c r="E18" s="9" t="str">
        <v>中</v>
      </c>
      <c r="F18" s="8" t="str">
        <v>P1</v>
      </c>
      <c r="G18" s="3" t="str">
        <v>建议</v>
      </c>
      <c r="H18" s="3" t="str">
        <v>• 报表内容：作业面积、时长、能耗、故障次数
 • 图表展示：趋势图、分布图
 • 导出格式：PDF（排版精美）、Excel（数据明细）</v>
      </c>
      <c r="I18" s="3" t="str">
        <v>图表库</v>
      </c>
      <c r="J18" s="3" t="str">
        <v>v1.1</v>
      </c>
    </row>
    <row r="19">
      <c r="A19" s="2" t="str">
        <v>框架集成</v>
      </c>
      <c r="B19" s="3" t="str">
        <v>混合架构</v>
      </c>
      <c r="C19" s="3" t="str">
        <v>原生应用壳</v>
      </c>
      <c r="D19" s="3" t="str">
        <v>轻量原生壳（Android/iOS）</v>
      </c>
      <c r="E19" s="4" t="str">
        <v>高</v>
      </c>
      <c r="F19" s="5" t="str">
        <v>P0</v>
      </c>
      <c r="G19" s="3" t="str">
        <v>必须</v>
      </c>
      <c r="H19" s="3" t="str">
        <v>• 包大小&lt;50MB
 • 启动时间&lt;3秒
 • 支持iOS 12+/Android 8+</v>
      </c>
      <c r="I19" s="3" t="str">
        <v>Flutter/React Native</v>
      </c>
      <c r="J19" s="3" t="str">
        <v>v1.0</v>
      </c>
    </row>
    <row r="20">
      <c r="A20" s="2" t="str">
        <v>框架集成</v>
      </c>
      <c r="B20" s="3" t="str">
        <v>混合架构</v>
      </c>
      <c r="C20" s="3" t="str">
        <v>WebView容器</v>
      </c>
      <c r="D20" s="3" t="str">
        <v>内嵌WebView加载管理网页</v>
      </c>
      <c r="E20" s="4" t="str">
        <v>高</v>
      </c>
      <c r="F20" s="5" t="str">
        <v>P0</v>
      </c>
      <c r="G20" s="3" t="str">
        <v>必须</v>
      </c>
      <c r="H20" s="3" t="str">
        <v>• WebView内核：WKWebView(iOS)/Chrome Custom Tabs(Android)
 • 缓存策略：优先本地缓存
 • 白名单机制（仅允许加载指定域名）</v>
      </c>
      <c r="I20" s="3" t="str">
        <v>WebView</v>
      </c>
      <c r="J20" s="3" t="str">
        <v>v1.0</v>
      </c>
    </row>
    <row r="21">
      <c r="A21" s="2" t="str">
        <v>框架集成</v>
      </c>
      <c r="B21" s="3" t="str">
        <v>JS Bridge</v>
      </c>
      <c r="C21" s="3" t="str">
        <v>原生能力调用</v>
      </c>
      <c r="D21" s="3" t="str">
        <v>JS Bridge提供原生能力</v>
      </c>
      <c r="E21" s="4" t="str">
        <v>高</v>
      </c>
      <c r="F21" s="5" t="str">
        <v>P0</v>
      </c>
      <c r="G21" s="3" t="str">
        <v>必须</v>
      </c>
      <c r="H21" s="3" t="str">
        <v>• `getConnectedDevice()`: 获取当前连接设备信息
 • `openNativeMapEditor()`: 打开原生地图编辑器
 • `scanWiFi()`: 扫描Wi-Fi列表
 • `sendCommand(cmd)`: 发送控制指令
 • `onStatusUpdate(callback)`: 状态更新监听</v>
      </c>
      <c r="I21" s="3" t="str">
        <v>Bridge SDK</v>
      </c>
      <c r="J21" s="3" t="str">
        <v>v1.0</v>
      </c>
    </row>
    <row r="22">
      <c r="A22" s="2" t="str">
        <v>框架集成</v>
      </c>
      <c r="B22" s="3" t="str">
        <v>离线支持</v>
      </c>
      <c r="C22" s="3" t="str">
        <v>离线数据缓存</v>
      </c>
      <c r="D22" s="3" t="str">
        <v>支持离线查看地图、任务</v>
      </c>
      <c r="E22" s="9" t="str">
        <v>中</v>
      </c>
      <c r="F22" s="8" t="str">
        <v>P1</v>
      </c>
      <c r="G22" s="3" t="str">
        <v>建议</v>
      </c>
      <c r="H22" s="3" t="str">
        <v>• Service Worker缓存策略
 • 本地数据库：IndexedDB
 • 离线操作队列（联网后同步）</v>
      </c>
      <c r="I22" s="3" t="str">
        <v>PWA技术</v>
      </c>
      <c r="J22" s="3" t="str">
        <v>v1.1</v>
      </c>
    </row>
  </sheetData>
  <mergeCells>
    <mergeCell ref="A2:J2"/>
    <mergeCell ref="A1:J1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31"/>
    <col collapsed="false" customWidth="true" hidden="false" max="3" min="3" style="0" width="27"/>
    <col collapsed="false" customWidth="true" hidden="false" max="4" min="4" style="0" width="14"/>
  </cols>
  <sheetData>
    <row r="1">
      <c r="A1" s="7" t="str">
        <v>名称</v>
      </c>
      <c r="B1" s="7" t="str">
        <v>型号</v>
      </c>
      <c r="C1" s="7" t="str">
        <v>架构</v>
      </c>
      <c r="D1" s="7" t="str">
        <v>AI算力</v>
      </c>
      <c r="E1" s="7" t="str">
        <v>售价</v>
      </c>
    </row>
    <row r="2">
      <c r="A2" s="7" t="str">
        <v>工控机</v>
      </c>
      <c r="B2" s="7" t="str">
        <v>IBOX-3126</v>
      </c>
      <c r="C2" s="14" t="str">
        <v>X86 (I5-1135G7/8G DDR4内存/128G SSD） 四核八线程，主频2.4GHz，睿频4.2GHz，8MB缓存</v>
      </c>
      <c r="D2" s="7" t="str">
        <v>单独配</v>
      </c>
      <c r="E2" s="7">
        <v>3350</v>
      </c>
    </row>
    <row r="3">
      <c r="B3" s="7" t="str">
        <v>IBOX-3226</v>
      </c>
      <c r="C3" s="14" t="str">
        <v>X86(I5-1235U/8G DDR4内存/128G SSD） 十核十二线程，睿频可达4.4GHz</v>
      </c>
      <c r="D3" s="7" t="str">
        <v>单独配</v>
      </c>
      <c r="E3" s="15">
        <v>3200</v>
      </c>
    </row>
    <row r="4">
      <c r="B4" t="str">
        <v>工业级 LPA3588J 8+64G</v>
      </c>
      <c r="C4" s="7" t="str">
        <v>ARM-8核64位  8G内存</v>
      </c>
      <c r="D4" s="7" t="str">
        <v>6TOPS</v>
      </c>
      <c r="E4" s="7">
        <v>3500</v>
      </c>
    </row>
    <row r="5">
      <c r="B5" s="7" t="str">
        <v>ORIN NANO 8G</v>
      </c>
      <c r="C5" s="7" t="str">
        <v>ARM 6核 CortexA78  8G内存</v>
      </c>
      <c r="D5" s="7" t="str">
        <v>67TOPS</v>
      </c>
      <c r="E5" s="7">
        <v>2900</v>
      </c>
    </row>
  </sheetData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8"/>
    <col collapsed="false" customWidth="true" hidden="false" max="2" min="2" style="0" width="20"/>
    <col collapsed="false" customWidth="true" hidden="false" max="3" min="3" style="0" width="19"/>
    <col collapsed="false" customWidth="true" hidden="false" max="4" min="4" style="0" width="33"/>
    <col collapsed="false" customWidth="true" hidden="false" max="5" min="5" style="0" width="75"/>
    <col collapsed="false" customWidth="true" hidden="false" max="6" min="6" style="0" width="14"/>
  </cols>
  <sheetData>
    <row r="1">
      <c r="A1" s="20"/>
      <c r="C1" s="21" t="str">
        <v>功能大类</v>
      </c>
      <c r="D1" s="21" t="str">
        <v>子模块名称</v>
      </c>
      <c r="E1" s="21" t="str">
        <v>功能描述</v>
      </c>
      <c r="F1" s="21" t="str">
        <v>优先级</v>
      </c>
    </row>
    <row r="2">
      <c r="A2" s="7"/>
      <c r="C2" s="16" t="str">
        <v>设备连接</v>
      </c>
      <c r="D2" s="16" t="str">
        <v>极速连机与配网</v>
      </c>
      <c r="E2" s="16" t="str">
        <v>支持 Wi-Fi 热点直连及蓝牙辅助配网；连接成功后自动跳转至控制首页。</v>
      </c>
      <c r="F2" s="19" t="str">
        <v>P0</v>
      </c>
    </row>
    <row r="3">
      <c r="A3" s="7"/>
      <c r="C3" s="16" t="str">
        <v>地图管理</v>
      </c>
      <c r="D3" s="15" t="str">
        <v>实时建图</v>
      </c>
      <c r="E3" s="15" t="str">
        <v>实时展示建图成功</v>
      </c>
      <c r="F3" s="19" t="str">
        <v>P0</v>
      </c>
    </row>
    <row r="4">
      <c r="A4" s="7"/>
      <c r="C4" s="16"/>
      <c r="D4" s="16" t="str">
        <v>地图展示</v>
      </c>
      <c r="E4" s="16" t="str">
        <v>实时渲染 2D/3D 点云/栅格地图，支持流畅的缩放、平移和旋转交互。</v>
      </c>
      <c r="F4" s="19" t="str">
        <v>P0</v>
      </c>
    </row>
    <row r="5">
      <c r="A5" s="7"/>
      <c r="C5" s="16"/>
      <c r="D5" s="16" t="str">
        <v>作业面编辑</v>
      </c>
      <c r="E5" s="16" t="str">
        <v>提供多边形、矩形工具规划作业区；支持绘制虚拟墙（禁区）和关键路径点。
</v>
      </c>
      <c r="F5" s="19" t="str">
        <v>P0</v>
      </c>
    </row>
    <row r="6">
      <c r="A6" s="7"/>
      <c r="C6" s="16"/>
      <c r="D6" s="16" t="str">
        <v>云同步</v>
      </c>
      <c r="E6" s="16" t="str">
        <v>实现地图的本地缓存与云端同步，具备多终端覆盖及冲突检测机制</v>
      </c>
      <c r="F6" s="19" t="str">
        <v>P0</v>
      </c>
    </row>
    <row r="7">
      <c r="A7" s="7"/>
      <c r="C7" s="16" t="str">
        <v>任务施工规划</v>
      </c>
      <c r="D7" s="16" t="str">
        <v>精细化分区配置</v>
      </c>
      <c r="E7" s="16" t="str">
        <v>支持对不同作业区块独立设置下压压力、行走速度及研磨模式（粗/精/抛）。</v>
      </c>
      <c r="F7" s="19" t="str">
        <v>P0</v>
      </c>
    </row>
    <row r="8">
      <c r="A8" s="7"/>
      <c r="C8" s="16"/>
      <c r="D8" s="16" t="str">
        <v>路径规划与仿真</v>
      </c>
      <c r="E8" s="16" t="str">
        <v>自定义路径方向，下发前生成全局路径预览，预估时长与路径长度，并自动进行碰撞冲突检测。</v>
      </c>
      <c r="F8" s="19" t="str">
        <v>P0</v>
      </c>
    </row>
    <row r="9">
      <c r="A9" s="7"/>
      <c r="C9" s="16" t="str">
        <v>现场监控</v>
      </c>
      <c r="D9" s="16" t="str">
        <v>全维度状态仪表盘</v>
      </c>
      <c r="E9" s="16" t="str">
        <v>实时显示机器人位置（带机头朝向）、电量、速度及已作业面积进度。</v>
      </c>
      <c r="F9" s="19" t="str">
        <v>P0</v>
      </c>
    </row>
    <row r="10">
      <c r="A10" s="7"/>
      <c r="C10" s="16"/>
      <c r="D10" s="16" t="str">
        <v>智能预警系统</v>
      </c>
      <c r="E10" s="16" t="str">
        <v>对避障停机、低电量、硬件故障进行红/黄/蓝分级报警，支持语音提示。</v>
      </c>
      <c r="F10" s="19" t="str">
        <v>P0</v>
      </c>
    </row>
    <row r="11">
      <c r="A11" s="7"/>
      <c r="C11" s="16" t="str">
        <v>视频/AR</v>
      </c>
      <c r="D11" s="16" t="str">
        <v>低延迟高清图传</v>
      </c>
      <c r="E11" s="16" t="str">
        <v>实时查看机器人前方 720p 视频流，支持网络自适应，延迟控制在 300ms 内。</v>
      </c>
      <c r="F11" s="19" t="str">
        <v>P0</v>
      </c>
    </row>
    <row r="12">
      <c r="C12" s="16"/>
      <c r="D12" s="16" t="str">
        <v>AR 增强作业引导</v>
      </c>
      <c r="E12" s="16" t="str">
        <v>在实时画面上叠加路径线条、作业模式标签和状态文本。</v>
      </c>
      <c r="F12" s="16" t="str">
        <v>P1</v>
      </c>
    </row>
    <row r="13">
      <c r="C13" s="16" t="str">
        <v>项目管理</v>
      </c>
      <c r="D13" s="16" t="str">
        <v>多机/项目看板</v>
      </c>
      <c r="E13" s="16" t="str">
        <v>列表式管理所有设备状态（在线/离线/报警），支持批量下发任务。</v>
      </c>
      <c r="F13" s="16" t="str">
        <v>P1</v>
      </c>
    </row>
    <row r="14">
      <c r="C14" s="16"/>
      <c r="D14" s="16" t="str">
        <v>作业回放与审计</v>
      </c>
      <c r="E14" s="16" t="str">
        <v>提供历史任务的时间轴回放（轨迹回放），记录关键操作点位。</v>
      </c>
      <c r="F14" s="16" t="str">
        <v>P1</v>
      </c>
    </row>
    <row r="15">
      <c r="C15" s="16"/>
      <c r="D15" s="16" t="str">
        <v>数据报表中心</v>
      </c>
      <c r="E15" s="16" t="str">
        <v>自动生成作业面积、耗时、能耗等维度的 PDF/Excel 报表。</v>
      </c>
      <c r="F15" s="16" t="str">
        <v>P1</v>
      </c>
    </row>
    <row r="16">
      <c r="C16" s="16" t="str">
        <v>底层架构</v>
      </c>
      <c r="D16" s="16" t="str">
        <v>Hybrid 混合底座</v>
      </c>
      <c r="E16" s="16" t="str">
        <v>采用原生+WebView 的混合架构，保障包体轻量（&lt;50MB）且启动迅速。</v>
      </c>
      <c r="F16" s="16" t="str">
        <v>P0</v>
      </c>
    </row>
    <row r="17">
      <c r="C17" s="16"/>
      <c r="D17" s="16" t="str">
        <v>离线数据容灾</v>
      </c>
      <c r="E17" s="16" t="str">
        <v>基于 JS Bridge 和离线缓存技术，确保断网状态下基础功能可用。</v>
      </c>
      <c r="F17" s="16" t="str">
        <v>P1</v>
      </c>
    </row>
    <row r="18"/>
    <row r="19"/>
    <row r="20">
      <c r="B20" s="7" t="str">
        <v>工控机开发</v>
      </c>
      <c r="C20" s="7" t="str">
        <v>数据读取</v>
      </c>
      <c r="D20" s="7" t="str">
        <v>电池数据读取</v>
      </c>
      <c r="F20" s="7" t="str">
        <v>P0</v>
      </c>
      <c r="G20" s="7">
        <v>1</v>
      </c>
      <c r="H20" s="7" t="str">
        <v>day</v>
      </c>
    </row>
    <row r="21">
      <c r="C21" s="7"/>
      <c r="D21" s="7" t="str">
        <v>传感器数据读取</v>
      </c>
      <c r="F21" s="7" t="str">
        <v>P0</v>
      </c>
      <c r="G21" s="7">
        <v>1</v>
      </c>
    </row>
    <row r="22">
      <c r="C22" s="7" t="str">
        <v>上下位机交互数据</v>
      </c>
      <c r="D22" s="7" t="str">
        <v>与APP端建立连接交互数据</v>
      </c>
      <c r="F22" s="7" t="str">
        <v>P0</v>
      </c>
      <c r="G22" s="7">
        <v>3</v>
      </c>
    </row>
    <row r="23">
      <c r="C23" s="7"/>
      <c r="D23" s="7" t="str">
        <v>与ROS端建立连接交互数据</v>
      </c>
      <c r="F23" s="7" t="str">
        <v>P0</v>
      </c>
      <c r="G23" s="7">
        <v>3</v>
      </c>
    </row>
    <row r="24">
      <c r="C24" s="7" t="str">
        <v>流数据汇总上传</v>
      </c>
      <c r="D24" s="7" t="str">
        <v>摄像头流数据转发</v>
      </c>
      <c r="F24" s="7" t="str">
        <v>P1</v>
      </c>
      <c r="G24" s="7">
        <v>5</v>
      </c>
    </row>
    <row r="25">
      <c r="C25" s="7"/>
      <c r="D25" s="7" t="str">
        <v>导航地图数据转发</v>
      </c>
      <c r="F25" s="7" t="str">
        <v>P1</v>
      </c>
      <c r="G25" s="7">
        <v>5</v>
      </c>
    </row>
    <row r="26">
      <c r="C26" s="15" t="str">
        <v>任务路径规划</v>
      </c>
      <c r="F26" s="7" t="str">
        <v>P1</v>
      </c>
      <c r="G26" s="7">
        <v>5</v>
      </c>
    </row>
    <row r="27">
      <c r="C27" s="7" t="str">
        <v>运行日志</v>
      </c>
      <c r="F27" s="7" t="str">
        <v>P1</v>
      </c>
      <c r="G27" s="7">
        <v>2</v>
      </c>
    </row>
    <row r="28">
      <c r="C28" s="15" t="str">
        <v>数据库处理</v>
      </c>
      <c r="F28" s="7" t="str">
        <v>P1</v>
      </c>
      <c r="G28" s="7">
        <v>2</v>
      </c>
    </row>
    <row r="29">
      <c r="G29">
        <f>SUM(G20:G28)</f>
      </c>
      <c r="H29" s="23" t="str">
        <v>27天/1人力</v>
      </c>
    </row>
    <row r="30"/>
    <row r="31"/>
    <row r="32"/>
    <row r="33"/>
    <row r="34">
      <c r="C34" s="22" t="str">
        <v>项目阶段</v>
      </c>
      <c r="D34" s="22" t="str">
        <v>核心工作内容</v>
      </c>
      <c r="E34" s="22" t="str">
        <v>参与角色</v>
      </c>
      <c r="F34" s="22" t="str">
        <v>预估投入 (人/天)</v>
      </c>
      <c r="G34" s="22" t="str">
        <v>日薪核算参考 (元/天)</v>
      </c>
      <c r="H34" s="22" t="str">
        <v>阶段成本小计 (元)</v>
      </c>
    </row>
    <row r="35">
      <c r="C35" s="17" t="str">
        <v>一、需求定义与设计阶段</v>
      </c>
      <c r="D35" s="18" t="str">
        <v>1. 梳理业务流程与异常状态（断网/脱困等）
2. 输出高保真原型与交互文档
3. 确定工控机通信协议（JSON/指令集等）
4. APP 界面与各类状态图标 UI 设计</v>
      </c>
      <c r="E35" s="18" t="str">
        <v>产品经理
UI 设计师</v>
      </c>
      <c r="F35" s="18" t="str">
        <v>10 天
15 天</v>
      </c>
      <c r="G35" s="18" t="str">
        <v>1,000
800</v>
      </c>
      <c r="H35" s="18" t="str">
        <v>10,000
12,000</v>
      </c>
    </row>
    <row r="36">
      <c r="C36" s="18" t="s">
        <v>4</v>
      </c>
      <c r="D36" s="18" t="s">
        <v>5</v>
      </c>
      <c r="E36" s="18" t="str">
        <v>安卓开发
产品经理</v>
      </c>
      <c r="F36" s="18" t="str">
        <v>45 天
5 天 (进度/答疑)</v>
      </c>
      <c r="G36" s="18" t="str">
        <v>1,200
1,000</v>
      </c>
      <c r="H36" s="18" t="str">
        <v>54,000
5,000</v>
      </c>
    </row>
    <row r="37">
      <c r="C37" s="18" t="s">
        <v>6</v>
      </c>
      <c r="D37" s="18" t="str">
        <v>1. 车间/工地实车联调（通信丢包、地图漂移测试）
2. 极端工况（弱网、断电）下的 Edge Case 修复
3. 性能优化（降低包体与内存占用）
4. 验收与交付文档输出</v>
      </c>
      <c r="E37" s="18" t="str">
        <v>安卓开发
产品经理</v>
      </c>
      <c r="F37" s="18" t="str">
        <v>15 天
10 天 (验收把控)</v>
      </c>
      <c r="G37" s="18" t="str">
        <v>1,200
1,000</v>
      </c>
      <c r="H37" s="18" t="str">
        <v>18,000
10,000</v>
      </c>
    </row>
    <row customHeight="true" ht="64" r="38">
      <c r="C38" s="17" t="str">
        <v>人力成本总计</v>
      </c>
      <c r="D38" s="17" t="str">
        <v>覆盖从 V1.0 到联调上线的完整闭环</v>
      </c>
      <c r="E38" s="17" t="str">
        <v>3 人</v>
      </c>
      <c r="F38" s="17" t="str">
        <v>共计 100 人天</v>
      </c>
      <c r="G38" s="18" t="str">
        <v>-</v>
      </c>
      <c r="H38" s="17" t="str">
        <v>¥ 109,000</v>
      </c>
    </row>
    <row r="39"/>
    <row r="40">
      <c r="C40" s="22" t="str">
        <v>报价类目</v>
      </c>
      <c r="D40" s="22" t="str">
        <v>核算说明</v>
      </c>
      <c r="E40" s="22" t="str">
        <v>预估金额 (人民币)</v>
      </c>
      <c r="F40" s="22" t="str">
        <v>占比说明</v>
      </c>
    </row>
    <row r="41">
      <c r="C41" s="17" t="str">
        <v>1. 基础人力成本</v>
      </c>
      <c r="D41" s="18" t="str">
        <v>见表 1（产品+UI+安卓开发的总人力投入基线）。</v>
      </c>
      <c r="E41" s="18" t="str">
        <v>¥ 109,000</v>
      </c>
      <c r="F41" s="18" t="str">
        <v>约 55%</v>
      </c>
    </row>
    <row r="42">
      <c r="C42" s="17" t="str">
        <v>2. 实车联调与差旅损耗</v>
      </c>
      <c r="D42" s="18" t="str">
        <v>机器人软件开发有大量时间在现场“蹲点”联调，需覆盖交通、差旅及硬件对接的隐性沟通成本。</v>
      </c>
      <c r="E42" s="18" t="str">
        <v>¥ 15,000 - ¥ 20,000</v>
      </c>
      <c r="F42" s="18" t="str">
        <v>约 10%</v>
      </c>
    </row>
    <row r="43">
      <c r="C43" s="17" t="str">
        <v>3. 技术风险金 (Buffer)</v>
      </c>
      <c r="D43" s="18" t="str">
        <v>针对“地图实时渲染卡顿”和“视频流延迟”这两个高风险模块预留的攻坚成本。</v>
      </c>
      <c r="E43" s="18" t="str">
        <v>¥ 15,000 - ¥ 20,000</v>
      </c>
      <c r="F43" s="18" t="str">
        <v>约 10%</v>
      </c>
    </row>
    <row r="44">
      <c r="C44" s="17" t="str">
        <v>4. 企业合理利润与税费</v>
      </c>
      <c r="D44" s="18" t="str">
        <v>维持团队运营的合理利润空间（通常在 25% - 40% 之间）及开票税点。</v>
      </c>
      <c r="E44" s="18" t="str">
        <v>¥ 45,000 - ¥ 60,000</v>
      </c>
      <c r="F44" s="18" t="str">
        <v>约 25%</v>
      </c>
    </row>
    <row r="45">
      <c r="C45" s="17" t="str">
        <v>对外建议总报价</v>
      </c>
      <c r="D45" s="17" t="str">
        <v>综合评估后的商用项目落地报价区间。</v>
      </c>
      <c r="E45" s="17" t="str">
        <v>¥ 184,000 - ¥ 209,000</v>
      </c>
      <c r="F45" s="24">
        <v>1</v>
      </c>
    </row>
  </sheetData>
  <mergeCells>
    <mergeCell ref="C3:C6"/>
    <mergeCell ref="C7:C8"/>
    <mergeCell ref="C9:C10"/>
    <mergeCell ref="C11:C12"/>
    <mergeCell ref="C13:C15"/>
    <mergeCell ref="C16:C17"/>
    <mergeCell ref="C24:C25"/>
    <mergeCell ref="C20:C21"/>
    <mergeCell ref="C22:C23"/>
    <mergeCell ref="B20:B28"/>
  </mergeCell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76"/>
  </cols>
  <sheetData>
    <row r="1">
      <c r="A1" s="7" t="str">
        <v>视频流接口</v>
      </c>
    </row>
    <row r="2">
      <c r="A2" s="7" t="str">
        <v>IMU接口</v>
      </c>
    </row>
    <row r="3">
      <c r="A3" s="7" t="str">
        <v>APP端是手机设备吗</v>
      </c>
    </row>
    <row r="4">
      <c r="A4" s="7" t="str">
        <v>有没有外部的AP基站</v>
      </c>
    </row>
    <row r="5">
      <c r="A5" s="7" t="str">
        <v>蓝牙配网是不是要求工控机支持蓝牙</v>
      </c>
    </row>
    <row r="6">
      <c r="A6" s="7" t="str">
        <v>程序和导航的程序通讯接口</v>
      </c>
    </row>
    <row r="7">
      <c r="A7" s="7" t="str">
        <v>任务规划需要做吗</v>
      </c>
    </row>
    <row r="8">
      <c r="A8" s="7" t="str">
        <v>工控机需要哪些外设接口，比如CAN、485、网口</v>
      </c>
    </row>
    <row r="9">
      <c r="A9" s="7" t="str">
        <v>部署场地为室内还是室外</v>
      </c>
    </row>
    <row r="10">
      <c r="A10" s="7" t="str">
        <v>是否会产生巨大粉尘影响激光和视觉，是否有收尘装置</v>
      </c>
    </row>
    <row r="11"/>
    <row r="12">
      <c r="A12" s="7" t="str">
        <v>是否实现安卓+IOS两端应用开发，上架应用市场</v>
      </c>
    </row>
    <row r="13">
      <c r="A13" s="7" t="str">
        <v>配网成功后自动切换至内嵌网页？这里的网页是否已具备</v>
      </c>
    </row>
    <row r="14">
      <c r="A14" s="7" t="str">
        <v>JS桥需求是不是已经具备相关的网页，只需webview加载</v>
      </c>
    </row>
    <row r="15">
      <c r="A15" s="7" t="str">
        <v>目前项目对接已具体哪些前置条件，算法，地图管理，监控视频流等，理清楚对接的功能</v>
      </c>
    </row>
  </sheetData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1"/>
    <col collapsed="false" customWidth="true" hidden="false" max="3" min="3" style="0" width="30"/>
    <col collapsed="false" customWidth="true" hidden="false" max="4" min="4" style="0" width="27"/>
    <col collapsed="false" customWidth="true" hidden="false" max="5" min="5" style="0" width="27"/>
    <col collapsed="false" customWidth="true" hidden="false" max="6" min="6" style="0" width="17"/>
  </cols>
  <sheetData>
    <row r="1">
      <c r="A1" s="35" t="str">
        <v>智能研磨机开发排期</v>
      </c>
      <c r="B1" s="33" t="str">
        <v>优先级</v>
      </c>
      <c r="C1" s="33" t="str">
        <v>任务分解</v>
      </c>
      <c r="D1" s="35" t="str">
        <v>研发负责人</v>
      </c>
      <c r="E1" s="35" t="str">
        <v>需求/技术文档</v>
      </c>
      <c r="F1" s="36" t="str">
        <v>截止时间</v>
      </c>
      <c r="G1" s="36" t="str">
        <v>3月</v>
      </c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</row>
    <row r="2">
      <c r="A2" s="35"/>
      <c r="B2" s="33"/>
      <c r="C2" s="33"/>
      <c r="D2" s="35"/>
      <c r="E2" s="35"/>
      <c r="F2" s="36"/>
      <c r="G2" s="34">
        <v>1</v>
      </c>
      <c r="H2" s="34">
        <f>1+G2</f>
      </c>
      <c r="I2" s="34">
        <f>1+H2</f>
      </c>
      <c r="J2" s="34">
        <f>1+I2</f>
      </c>
      <c r="K2" s="34">
        <f>1+J2</f>
      </c>
      <c r="L2" s="34">
        <f>1+K2</f>
      </c>
      <c r="M2" s="34">
        <f>1+L2</f>
      </c>
      <c r="N2" s="34">
        <f>1+M2</f>
      </c>
      <c r="O2" s="34">
        <f>1+N2</f>
      </c>
      <c r="P2" s="34">
        <f>1+O2</f>
      </c>
      <c r="Q2" s="34">
        <f>1+P2</f>
      </c>
      <c r="R2" s="34">
        <f>1+Q2</f>
      </c>
      <c r="S2" s="34">
        <f>1+R2</f>
      </c>
      <c r="T2" s="34">
        <f>1+S2</f>
      </c>
      <c r="U2" s="34">
        <f>1+T2</f>
      </c>
      <c r="V2" s="34">
        <f>1+U2</f>
      </c>
      <c r="W2" s="34">
        <f>1+V2</f>
      </c>
      <c r="X2" s="34">
        <f>1+W2</f>
      </c>
      <c r="Y2" s="34">
        <f>1+X2</f>
      </c>
      <c r="Z2" s="34">
        <f>1+Y2</f>
      </c>
      <c r="AA2" s="34">
        <f>1+Z2</f>
      </c>
      <c r="AB2" s="34">
        <f>1+AA2</f>
      </c>
      <c r="AC2" s="34">
        <f>1+AB2</f>
      </c>
      <c r="AD2" s="34">
        <f>1+AC2</f>
      </c>
      <c r="AE2" s="34">
        <f>1+AD2</f>
      </c>
      <c r="AF2" s="34">
        <f>1+AE2</f>
      </c>
      <c r="AG2" s="34">
        <f>1+AF2</f>
      </c>
      <c r="AH2" s="34">
        <f>1+AG2</f>
      </c>
      <c r="AI2" s="34">
        <f>1+AH2</f>
      </c>
      <c r="AJ2" s="34">
        <f>1+AI2</f>
      </c>
      <c r="AK2" s="34">
        <v>31</v>
      </c>
    </row>
    <row customHeight="true" hidden="true" ht="19" r="3">
      <c r="A3" s="48"/>
      <c r="B3" s="47"/>
      <c r="C3" s="46"/>
      <c r="D3" s="50" t="str">
        <v>输入“@+人名”提及相关人员</v>
      </c>
      <c r="E3" s="50" t="str" xml:space="preserve">
        <v>输入 @ 插入相关云文档   </v>
      </c>
      <c r="F3" s="44" t="s">
        <v>11</v>
      </c>
      <c r="G3" s="49" t="str">
        <v>设置单元格背景色，表示任务进度</v>
      </c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</row>
    <row r="4">
      <c r="A4" s="39" t="str">
        <v>硬件开发</v>
      </c>
      <c r="B4" s="31" t="str">
        <v>P0</v>
      </c>
      <c r="C4" s="41" t="str">
        <v>工控机、CAN盒、交换机、路由器、激光雷达下单采购</v>
      </c>
      <c r="D4" s="25" t="s">
        <v>10</v>
      </c>
      <c r="E4" s="44"/>
      <c r="F4" s="37">
        <v>46122</v>
      </c>
      <c r="G4" s="43"/>
      <c r="H4" s="43"/>
      <c r="I4" s="39"/>
      <c r="J4" s="39"/>
      <c r="K4" s="40"/>
      <c r="L4" s="39"/>
      <c r="M4" s="39"/>
      <c r="N4" s="39"/>
      <c r="O4" s="39"/>
      <c r="P4" s="39"/>
      <c r="Q4" s="39"/>
      <c r="R4" s="42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</row>
    <row r="5">
      <c r="A5" s="39"/>
      <c r="B5" s="31" t="str">
        <v>P0</v>
      </c>
      <c r="C5" s="38" t="str">
        <v>调试环境搭建</v>
      </c>
      <c r="D5" s="25"/>
      <c r="E5" s="44"/>
      <c r="F5" s="37">
        <v>46127</v>
      </c>
      <c r="G5" s="39"/>
      <c r="H5" s="39"/>
      <c r="I5" s="51"/>
      <c r="J5" s="51"/>
      <c r="K5" s="51"/>
      <c r="L5" s="52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</row>
    <row r="6">
      <c r="A6" s="39" t="str">
        <v>嵌入式</v>
      </c>
      <c r="B6" s="31" t="str">
        <v>P0</v>
      </c>
      <c r="C6" s="7" t="str">
        <v>上下位机交互</v>
      </c>
      <c r="D6" s="25"/>
      <c r="E6" s="7" t="str">
        <v>与APP端建立连接交互数据</v>
      </c>
      <c r="F6" s="37">
        <v>46120</v>
      </c>
      <c r="G6" s="39"/>
      <c r="H6" s="39"/>
      <c r="I6" s="40"/>
      <c r="J6" s="40"/>
      <c r="K6" s="39"/>
      <c r="L6" s="39"/>
      <c r="M6" s="39"/>
      <c r="N6" s="39"/>
      <c r="O6" s="39"/>
      <c r="P6" s="39"/>
      <c r="Q6" s="39"/>
      <c r="R6" s="40"/>
      <c r="S6" s="40"/>
      <c r="T6" s="40"/>
      <c r="U6" s="39"/>
      <c r="V6" s="39"/>
      <c r="W6" s="39"/>
      <c r="X6" s="39"/>
      <c r="Y6" s="39"/>
      <c r="Z6" s="39"/>
      <c r="AA6" s="39"/>
      <c r="AB6" s="39"/>
      <c r="AC6" s="39"/>
      <c r="AD6" s="51"/>
      <c r="AE6" s="51"/>
      <c r="AF6" s="51"/>
      <c r="AG6" s="52"/>
      <c r="AH6" s="39"/>
      <c r="AI6" s="39"/>
      <c r="AJ6" s="39"/>
      <c r="AK6" s="39"/>
    </row>
    <row r="7">
      <c r="A7" s="39"/>
      <c r="B7" s="31" t="str">
        <v>P0</v>
      </c>
      <c r="C7" s="7"/>
      <c r="D7" s="25"/>
      <c r="E7" s="7" t="str">
        <v>与ROS节点建立连接交互数据</v>
      </c>
      <c r="F7" s="37">
        <v>46126</v>
      </c>
      <c r="G7" s="39"/>
      <c r="H7" s="39"/>
      <c r="I7" s="40"/>
      <c r="J7" s="40"/>
      <c r="K7" s="39"/>
      <c r="L7" s="39"/>
      <c r="M7" s="39"/>
      <c r="N7" s="39"/>
      <c r="O7" s="39"/>
      <c r="P7" s="39"/>
      <c r="Q7" s="39"/>
      <c r="R7" s="40"/>
      <c r="S7" s="40"/>
      <c r="T7" s="40"/>
      <c r="U7" s="39"/>
      <c r="V7" s="39"/>
      <c r="W7" s="39"/>
      <c r="X7" s="39"/>
      <c r="Y7" s="39"/>
      <c r="Z7" s="39"/>
      <c r="AA7" s="39"/>
      <c r="AB7" s="39"/>
      <c r="AC7" s="39"/>
      <c r="AD7" s="51"/>
      <c r="AE7" s="51"/>
      <c r="AF7" s="51"/>
      <c r="AG7" s="52"/>
      <c r="AH7" s="39"/>
      <c r="AI7" s="39"/>
      <c r="AJ7" s="39"/>
      <c r="AK7" s="39"/>
    </row>
    <row customHeight="true" ht="19" r="8">
      <c r="A8" s="39"/>
      <c r="B8" s="31" t="str">
        <v>P1</v>
      </c>
      <c r="C8" s="7" t="str">
        <v>导航处理</v>
      </c>
      <c r="D8" s="25"/>
      <c r="E8" s="7" t="str">
        <v>导航地图数据转发</v>
      </c>
      <c r="F8" s="37">
        <v>46132</v>
      </c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</row>
    <row customHeight="true" ht="19" r="9">
      <c r="A9" s="39"/>
      <c r="B9" s="31" t="str">
        <v>P1</v>
      </c>
      <c r="C9" s="7"/>
      <c r="D9" s="25"/>
      <c r="E9" s="54" t="str">
        <v>全局路径算法</v>
      </c>
      <c r="F9" s="37">
        <v>46137</v>
      </c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</row>
    <row customHeight="true" ht="19" r="10">
      <c r="A10" s="39"/>
      <c r="B10" s="31" t="str">
        <v>P1</v>
      </c>
      <c r="C10" s="7"/>
      <c r="D10" s="25"/>
      <c r="E10" s="7" t="str">
        <v>底盘控制</v>
      </c>
      <c r="F10" s="53">
        <v>46142</v>
      </c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</row>
    <row customHeight="true" ht="19" r="11">
      <c r="A11" s="39"/>
      <c r="B11" s="31" t="str">
        <v>P2</v>
      </c>
      <c r="C11" s="15"/>
      <c r="D11" s="25"/>
      <c r="E11" s="7" t="str">
        <v>配网</v>
      </c>
      <c r="F11" s="37">
        <v>46114</v>
      </c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</row>
    <row customHeight="true" ht="19" r="12">
      <c r="A12" s="39"/>
      <c r="B12" s="31" t="str">
        <v>P2</v>
      </c>
      <c r="C12" s="15"/>
      <c r="D12" s="25"/>
      <c r="E12" s="7" t="str">
        <v>摄像头流数据转发</v>
      </c>
      <c r="F12" s="37">
        <v>46129</v>
      </c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</row>
    <row customHeight="true" ht="19" r="13">
      <c r="A13" s="39"/>
      <c r="B13" s="31" t="str">
        <v>P2</v>
      </c>
      <c r="C13" s="15"/>
      <c r="D13" s="25"/>
      <c r="E13" s="54" t="str">
        <v>数据存储</v>
      </c>
      <c r="F13" s="37">
        <v>46154</v>
      </c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</row>
    <row customHeight="true" ht="19" r="14">
      <c r="A14" s="39"/>
      <c r="B14" s="31"/>
      <c r="C14" s="15"/>
      <c r="D14" s="25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</row>
    <row r="15">
      <c r="A15" s="25" t="str">
        <v>产品设计</v>
      </c>
      <c r="B15" s="27" t="str">
        <v>P0</v>
      </c>
      <c r="C15" s="16" t="str">
        <v>产品需求设计</v>
      </c>
      <c r="D15" s="29" t="s">
        <v>7</v>
      </c>
      <c r="E15" s="16"/>
      <c r="F15" s="28">
        <v>46113</v>
      </c>
      <c r="G15" s="25"/>
      <c r="H15" s="15"/>
      <c r="I15" s="15"/>
      <c r="J15" s="15"/>
      <c r="K15" s="15"/>
      <c r="L15" s="15"/>
      <c r="M15" s="15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15"/>
      <c r="AF15" s="15"/>
      <c r="AG15" s="15"/>
      <c r="AH15" s="15"/>
      <c r="AI15" s="15"/>
      <c r="AJ15" s="15"/>
      <c r="AK15" s="15"/>
    </row>
    <row r="16">
      <c r="A16" s="25"/>
      <c r="B16" s="27" t="str">
        <v>P0</v>
      </c>
      <c r="C16" s="16" t="str">
        <v>UI设计</v>
      </c>
      <c r="D16" s="29"/>
      <c r="E16" s="15"/>
      <c r="F16" s="28">
        <v>46119</v>
      </c>
      <c r="G16" s="25"/>
      <c r="H16" s="15"/>
      <c r="I16" s="15"/>
      <c r="J16" s="15"/>
      <c r="K16" s="15"/>
      <c r="L16" s="15"/>
      <c r="M16" s="15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15"/>
      <c r="AF16" s="15"/>
      <c r="AG16" s="15"/>
      <c r="AH16" s="15"/>
      <c r="AI16" s="15"/>
      <c r="AJ16" s="15"/>
      <c r="AK16" s="15"/>
    </row>
    <row r="17">
      <c r="A17" s="25"/>
      <c r="B17" s="27" t="str">
        <v>P0</v>
      </c>
      <c r="C17" s="16" t="str">
        <v>UI评审</v>
      </c>
      <c r="D17" s="29"/>
      <c r="E17" s="16"/>
      <c r="F17" s="28"/>
      <c r="G17" s="25"/>
      <c r="H17" s="15"/>
      <c r="I17" s="15"/>
      <c r="J17" s="15"/>
      <c r="K17" s="15"/>
      <c r="L17" s="15"/>
      <c r="M17" s="15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15"/>
      <c r="AF17" s="15"/>
      <c r="AG17" s="15"/>
      <c r="AH17" s="15"/>
      <c r="AI17" s="15"/>
      <c r="AJ17" s="15"/>
      <c r="AK17" s="15"/>
    </row>
    <row customHeight="true" ht="19" r="18">
      <c r="A18" s="25"/>
      <c r="B18" s="31" t="str">
        <v>P0</v>
      </c>
      <c r="C18" s="16" t="str">
        <v>设备连接</v>
      </c>
      <c r="D18" s="16" t="str">
        <v>极速连机与配网/蓝牙配网</v>
      </c>
      <c r="E18" s="7" t="s">
        <v>8</v>
      </c>
      <c r="F18" s="32">
        <v>46133</v>
      </c>
      <c r="G18" s="25"/>
      <c r="H18" s="15"/>
      <c r="I18" s="15"/>
      <c r="J18" s="15"/>
      <c r="K18" s="15"/>
      <c r="L18" s="15"/>
      <c r="M18" s="15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15"/>
      <c r="AF18" s="15"/>
      <c r="AG18" s="15"/>
      <c r="AH18" s="15"/>
      <c r="AI18" s="15"/>
      <c r="AJ18" s="15"/>
      <c r="AK18" s="15"/>
    </row>
    <row customHeight="true" ht="19" r="19">
      <c r="A19" s="25"/>
      <c r="B19" s="31" t="str">
        <v>P0</v>
      </c>
      <c r="C19" s="16" t="str">
        <v>导航</v>
      </c>
      <c r="D19" s="15" t="str">
        <v>实时数据展示</v>
      </c>
      <c r="F19" s="32">
        <v>46142</v>
      </c>
      <c r="G19" s="25"/>
      <c r="H19" s="15"/>
      <c r="I19" s="15"/>
      <c r="J19" s="15"/>
      <c r="K19" s="15"/>
      <c r="L19" s="15"/>
      <c r="M19" s="15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15"/>
      <c r="AF19" s="15"/>
      <c r="AG19" s="15"/>
      <c r="AH19" s="15"/>
      <c r="AI19" s="15"/>
      <c r="AJ19" s="15"/>
      <c r="AK19" s="15"/>
    </row>
    <row customHeight="true" ht="19" r="20">
      <c r="A20" s="25"/>
      <c r="B20" s="31" t="str">
        <v>P0</v>
      </c>
      <c r="C20" s="16"/>
      <c r="D20" s="16" t="str">
        <v>消息通知</v>
      </c>
      <c r="F20" s="32"/>
      <c r="G20" s="25"/>
      <c r="H20" s="15"/>
      <c r="I20" s="15"/>
      <c r="J20" s="15"/>
      <c r="K20" s="15"/>
      <c r="L20" s="15"/>
      <c r="M20" s="15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15"/>
      <c r="AF20" s="15"/>
      <c r="AG20" s="15"/>
      <c r="AH20" s="15"/>
      <c r="AI20" s="15"/>
      <c r="AJ20" s="15"/>
      <c r="AK20" s="15"/>
    </row>
    <row customHeight="true" ht="19" r="21">
      <c r="A21" s="25"/>
      <c r="B21" s="31" t="str">
        <v>P0</v>
      </c>
      <c r="C21" s="16"/>
      <c r="D21" s="16" t="str">
        <v>路径演示</v>
      </c>
      <c r="F21" s="32"/>
      <c r="G21" s="25"/>
      <c r="H21" s="15"/>
      <c r="I21" s="15"/>
      <c r="J21" s="15"/>
      <c r="K21" s="15"/>
      <c r="L21" s="15"/>
      <c r="M21" s="15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15"/>
      <c r="AF21" s="15"/>
      <c r="AG21" s="15"/>
      <c r="AH21" s="15"/>
      <c r="AI21" s="15"/>
      <c r="AJ21" s="15"/>
      <c r="AK21" s="15"/>
    </row>
    <row customHeight="true" ht="19" r="22">
      <c r="A22" s="25"/>
      <c r="B22" s="31" t="str">
        <v>P0</v>
      </c>
      <c r="C22" s="16"/>
      <c r="D22" s="16" t="str">
        <v>视频展示</v>
      </c>
      <c r="F22" s="32"/>
      <c r="G22" s="25"/>
      <c r="H22" s="15"/>
      <c r="I22" s="15"/>
      <c r="J22" s="15"/>
      <c r="K22" s="15"/>
      <c r="L22" s="15"/>
      <c r="M22" s="15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15"/>
      <c r="AF22" s="15"/>
      <c r="AG22" s="15"/>
      <c r="AH22" s="15"/>
      <c r="AI22" s="15"/>
      <c r="AJ22" s="15"/>
      <c r="AK22" s="15"/>
    </row>
    <row customHeight="true" ht="19" r="23">
      <c r="A23" s="25"/>
      <c r="B23" s="31" t="str">
        <v>P0</v>
      </c>
      <c r="C23" s="16"/>
      <c r="D23" s="16" t="str">
        <v>开始研磨/暂停/结束</v>
      </c>
      <c r="F23" s="32"/>
      <c r="G23" s="25"/>
      <c r="H23" s="15"/>
      <c r="I23" s="15"/>
      <c r="J23" s="15"/>
      <c r="K23" s="15"/>
      <c r="L23" s="15"/>
      <c r="M23" s="15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15"/>
      <c r="AF23" s="15"/>
      <c r="AG23" s="15"/>
      <c r="AH23" s="15"/>
      <c r="AI23" s="15"/>
      <c r="AJ23" s="15"/>
      <c r="AK23" s="15"/>
    </row>
    <row customHeight="true" ht="19" r="24">
      <c r="A24" s="25"/>
      <c r="B24" s="31" t="str">
        <v>P0</v>
      </c>
      <c r="C24" s="16"/>
      <c r="D24" s="7" t="str">
        <v>设备状态展示</v>
      </c>
      <c r="F24" s="32"/>
      <c r="G24" s="25"/>
      <c r="H24" s="15"/>
      <c r="I24" s="15"/>
      <c r="J24" s="15"/>
      <c r="K24" s="15"/>
      <c r="L24" s="15"/>
      <c r="M24" s="1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15"/>
      <c r="AF24" s="15"/>
      <c r="AG24" s="15"/>
      <c r="AH24" s="15"/>
      <c r="AI24" s="15"/>
      <c r="AJ24" s="15"/>
      <c r="AK24" s="15"/>
    </row>
    <row customHeight="true" ht="19" r="25">
      <c r="A25" s="25"/>
      <c r="B25" s="31" t="str">
        <v>P0</v>
      </c>
      <c r="C25" s="16" t="str">
        <v>地图</v>
      </c>
      <c r="D25" s="16" t="str">
        <v>路径规划与仿真</v>
      </c>
      <c r="F25" s="32">
        <v>46136</v>
      </c>
      <c r="G25" s="25"/>
      <c r="H25" s="15"/>
      <c r="I25" s="15"/>
      <c r="J25" s="15"/>
      <c r="K25" s="15"/>
      <c r="L25" s="15"/>
      <c r="M25" s="1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15"/>
      <c r="AF25" s="15"/>
      <c r="AG25" s="15"/>
      <c r="AH25" s="15"/>
      <c r="AI25" s="15"/>
      <c r="AJ25" s="15"/>
      <c r="AK25" s="15"/>
    </row>
    <row customHeight="true" ht="19" r="26">
      <c r="A26" s="25"/>
      <c r="B26" s="31" t="str">
        <v>P0</v>
      </c>
      <c r="C26" s="16"/>
      <c r="D26" s="16" t="str">
        <v>新建工作区 - 框选/多边形</v>
      </c>
      <c r="F26" s="32"/>
      <c r="G26" s="25"/>
      <c r="H26" s="15"/>
      <c r="I26" s="15"/>
      <c r="J26" s="15"/>
      <c r="K26" s="15"/>
      <c r="L26" s="15"/>
      <c r="M26" s="1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15"/>
      <c r="AF26" s="15"/>
      <c r="AG26" s="15"/>
      <c r="AH26" s="15"/>
      <c r="AI26" s="15"/>
      <c r="AJ26" s="15"/>
      <c r="AK26" s="15"/>
    </row>
    <row customHeight="true" ht="19" r="27">
      <c r="A27" s="25"/>
      <c r="B27" s="31" t="str">
        <v>P0</v>
      </c>
      <c r="C27" s="16"/>
      <c r="D27" s="16" t="str">
        <v>新建禁区  - 禁区墙/ 禁区</v>
      </c>
      <c r="F27" s="32"/>
      <c r="G27" s="25"/>
      <c r="H27" s="15"/>
      <c r="I27" s="15"/>
      <c r="J27" s="15"/>
      <c r="K27" s="15"/>
      <c r="L27" s="15"/>
      <c r="M27" s="1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15"/>
      <c r="AF27" s="15"/>
      <c r="AG27" s="15"/>
      <c r="AH27" s="15"/>
      <c r="AI27" s="15"/>
      <c r="AJ27" s="15"/>
      <c r="AK27" s="15"/>
    </row>
    <row customHeight="true" ht="19" r="28">
      <c r="A28" s="25"/>
      <c r="B28" s="31" t="str">
        <v>P0</v>
      </c>
      <c r="C28" s="16"/>
      <c r="D28" s="16" t="str">
        <v>工作区研磨参数定义</v>
      </c>
      <c r="F28" s="32"/>
      <c r="G28" s="25"/>
      <c r="H28" s="15"/>
      <c r="I28" s="15"/>
      <c r="J28" s="15"/>
      <c r="K28" s="15"/>
      <c r="L28" s="15"/>
      <c r="M28" s="1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15"/>
      <c r="AF28" s="15"/>
      <c r="AG28" s="15"/>
      <c r="AH28" s="15"/>
      <c r="AI28" s="15"/>
      <c r="AJ28" s="15"/>
      <c r="AK28" s="15"/>
    </row>
    <row customHeight="true" ht="19" r="29">
      <c r="A29" s="25"/>
      <c r="B29" s="31" t="str">
        <v>P0</v>
      </c>
      <c r="C29" s="16"/>
      <c r="D29" s="16" t="str">
        <v>地图增删改查</v>
      </c>
      <c r="F29" s="32"/>
      <c r="G29" s="25"/>
      <c r="H29" s="15"/>
      <c r="I29" s="15"/>
      <c r="J29" s="15"/>
      <c r="K29" s="15"/>
      <c r="L29" s="15"/>
      <c r="M29" s="1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15"/>
      <c r="AF29" s="15"/>
      <c r="AG29" s="15"/>
      <c r="AH29" s="15"/>
      <c r="AI29" s="15"/>
      <c r="AJ29" s="15"/>
      <c r="AK29" s="15"/>
    </row>
    <row customHeight="true" ht="19" r="30">
      <c r="A30" s="25"/>
      <c r="B30" s="31" t="str">
        <v>P1</v>
      </c>
      <c r="C30" s="16" t="str">
        <v>项目管理</v>
      </c>
      <c r="D30" s="16" t="str">
        <v>多机/项目看板</v>
      </c>
      <c r="F30" s="32"/>
      <c r="G30" s="25"/>
      <c r="H30" s="15"/>
      <c r="I30" s="15"/>
      <c r="J30" s="15"/>
      <c r="K30" s="15"/>
      <c r="L30" s="15"/>
      <c r="M30" s="1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15"/>
      <c r="AF30" s="15"/>
      <c r="AG30" s="15"/>
      <c r="AH30" s="15"/>
      <c r="AI30" s="15"/>
      <c r="AJ30" s="15"/>
      <c r="AK30" s="15"/>
    </row>
    <row customHeight="true" ht="19" r="31">
      <c r="A31" s="25"/>
      <c r="B31" s="31" t="str">
        <v>P1</v>
      </c>
      <c r="C31" s="16"/>
      <c r="D31" s="16" t="str">
        <v>作业回放与审计</v>
      </c>
      <c r="F31" s="32"/>
      <c r="G31" s="25"/>
      <c r="H31" s="15"/>
      <c r="I31" s="15"/>
      <c r="J31" s="15"/>
      <c r="K31" s="15"/>
      <c r="L31" s="15"/>
      <c r="M31" s="1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15"/>
      <c r="AF31" s="15"/>
      <c r="AG31" s="15"/>
      <c r="AH31" s="15"/>
      <c r="AI31" s="15"/>
      <c r="AJ31" s="15"/>
      <c r="AK31" s="15"/>
    </row>
    <row customHeight="true" ht="19" r="32">
      <c r="A32" s="25"/>
      <c r="B32" s="31" t="str">
        <v>P1</v>
      </c>
      <c r="C32" s="16"/>
      <c r="D32" s="16" t="str">
        <v>数据报表中心</v>
      </c>
      <c r="F32" s="32"/>
      <c r="G32" s="25"/>
      <c r="H32" s="15"/>
      <c r="I32" s="15"/>
      <c r="J32" s="15"/>
      <c r="K32" s="15"/>
      <c r="L32" s="15"/>
      <c r="M32" s="15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15"/>
      <c r="AF32" s="15"/>
      <c r="AG32" s="15"/>
      <c r="AH32" s="15"/>
      <c r="AI32" s="15"/>
      <c r="AJ32" s="15"/>
      <c r="AK32" s="15"/>
    </row>
    <row customHeight="true" ht="19" r="33">
      <c r="A33" s="25"/>
      <c r="B33" s="31" t="str">
        <v>P0</v>
      </c>
      <c r="C33" s="16" t="str">
        <v>框架层</v>
      </c>
      <c r="D33" s="16" t="str">
        <v>安卓框架搭建</v>
      </c>
      <c r="F33" s="32">
        <v>46132</v>
      </c>
      <c r="G33" s="25"/>
      <c r="H33" s="15"/>
      <c r="I33" s="15"/>
      <c r="J33" s="15"/>
      <c r="K33" s="15"/>
      <c r="L33" s="15"/>
      <c r="M33" s="15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15"/>
      <c r="AF33" s="15"/>
      <c r="AG33" s="15"/>
      <c r="AH33" s="15"/>
      <c r="AI33" s="15"/>
      <c r="AJ33" s="15"/>
      <c r="AK33" s="15"/>
    </row>
    <row r="34">
      <c r="A34" s="25" t="str">
        <v>测试</v>
      </c>
      <c r="B34" s="25" t="str">
        <v>P0</v>
      </c>
      <c r="C34" s="38" t="str">
        <v>测试环境、用例、数据准备</v>
      </c>
      <c r="D34" s="25" t="s">
        <v>9</v>
      </c>
      <c r="E34" s="27" t="str">
        <v>测试用例V1.0</v>
      </c>
      <c r="F34" s="37">
        <v>46197</v>
      </c>
      <c r="G34" s="2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</row>
    <row r="35">
      <c r="A35" s="25"/>
      <c r="B35" s="25" t="str">
        <v>P0</v>
      </c>
      <c r="C35" s="38" t="str">
        <v>P0 核心功能模块测试</v>
      </c>
      <c r="D35" s="25"/>
      <c r="E35" s="27" t="str">
        <v>核心功能测试报告、P0级Bug清单</v>
      </c>
      <c r="F35" s="37">
        <v>46204</v>
      </c>
      <c r="G35" s="2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</row>
    <row r="36">
      <c r="A36" s="25"/>
      <c r="B36" s="25" t="str">
        <v>P0</v>
      </c>
      <c r="C36" s="38" t="str">
        <v>整机联调 与 稳定性测试</v>
      </c>
      <c r="D36" s="25"/>
      <c r="E36" s="27" t="str">
        <v>整机集成测试报告、P1级Bug清单</v>
      </c>
      <c r="F36" s="37">
        <v>46206</v>
      </c>
      <c r="G36" s="2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</row>
    <row r="37">
      <c r="A37" s="25"/>
      <c r="B37" s="25" t="str">
        <v>P0</v>
      </c>
      <c r="C37" s="38" t="str">
        <v>回归所有已修复Bug</v>
      </c>
      <c r="D37" s="25"/>
      <c r="E37" s="27" t="str">
        <v>回归测试报告、Bug关闭清单</v>
      </c>
      <c r="F37" s="37">
        <v>46210</v>
      </c>
      <c r="G37" s="2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</row>
    <row r="38">
      <c r="A38" s="25"/>
      <c r="B38" s="25" t="str">
        <v>P0</v>
      </c>
      <c r="C38" s="38" t="str">
        <v>完成验收测试</v>
      </c>
      <c r="D38" s="25"/>
      <c r="E38" s="27"/>
      <c r="F38" s="37">
        <v>46213</v>
      </c>
      <c r="G38" s="2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</row>
    <row r="39">
      <c r="G39" s="30"/>
    </row>
    <row r="40">
      <c r="G40" s="30"/>
    </row>
    <row r="41">
      <c r="G41" s="30"/>
    </row>
    <row r="42">
      <c r="G42" s="30"/>
    </row>
    <row r="43">
      <c r="G43" s="30"/>
    </row>
    <row r="44">
      <c r="G44" s="30"/>
    </row>
    <row r="45">
      <c r="G45" s="30"/>
    </row>
    <row r="46">
      <c r="G46" s="30"/>
    </row>
    <row r="47">
      <c r="G47" s="30"/>
    </row>
    <row r="48">
      <c r="G48" s="30"/>
    </row>
    <row r="49">
      <c r="G49" s="30"/>
    </row>
    <row r="50">
      <c r="G50" s="30"/>
    </row>
    <row r="51">
      <c r="G51" s="30"/>
    </row>
    <row r="52">
      <c r="G52" s="30"/>
    </row>
    <row r="53">
      <c r="G53" s="30"/>
    </row>
    <row r="54">
      <c r="G54" s="30"/>
    </row>
    <row r="55">
      <c r="G55" s="30"/>
    </row>
    <row r="56">
      <c r="G56" s="30"/>
    </row>
    <row r="57">
      <c r="G57" s="30"/>
    </row>
    <row r="58">
      <c r="G58" s="30"/>
    </row>
    <row r="59">
      <c r="G59" s="30"/>
    </row>
    <row r="60">
      <c r="G60" s="30"/>
    </row>
    <row r="61">
      <c r="G61" s="30"/>
    </row>
    <row r="62">
      <c r="G62" s="30"/>
    </row>
    <row r="63">
      <c r="G63" s="30"/>
    </row>
    <row r="64">
      <c r="G64" s="30"/>
    </row>
    <row r="65">
      <c r="G65" s="30"/>
    </row>
    <row r="66">
      <c r="G66" s="30"/>
    </row>
    <row r="67">
      <c r="G67" s="30"/>
    </row>
    <row r="68">
      <c r="G68" s="30"/>
    </row>
    <row r="69">
      <c r="G69" s="30"/>
    </row>
    <row r="70">
      <c r="G70" s="30"/>
    </row>
    <row r="71">
      <c r="G71" s="30"/>
    </row>
    <row r="72">
      <c r="G72" s="30"/>
    </row>
    <row r="73">
      <c r="G73" s="30"/>
    </row>
    <row r="74">
      <c r="G74" s="30"/>
    </row>
    <row r="75">
      <c r="G75" s="30"/>
    </row>
    <row r="76">
      <c r="G76" s="30"/>
    </row>
    <row r="77">
      <c r="G77" s="30"/>
    </row>
    <row r="78">
      <c r="G78" s="30"/>
    </row>
    <row r="79">
      <c r="G79" s="30"/>
    </row>
    <row r="80">
      <c r="G80" s="30"/>
    </row>
    <row r="81">
      <c r="G81" s="30"/>
    </row>
    <row r="82">
      <c r="G82" s="30"/>
    </row>
    <row r="83">
      <c r="G83" s="30"/>
    </row>
    <row r="84">
      <c r="G84" s="30"/>
    </row>
    <row r="85">
      <c r="G85" s="30"/>
    </row>
    <row r="86">
      <c r="G86" s="30"/>
    </row>
    <row r="87">
      <c r="G87" s="30"/>
    </row>
    <row r="88">
      <c r="G88" s="30"/>
    </row>
    <row r="89">
      <c r="G89" s="30"/>
    </row>
    <row r="90">
      <c r="G90" s="30"/>
    </row>
    <row r="91">
      <c r="G91" s="30"/>
    </row>
    <row r="92">
      <c r="G92" s="30"/>
    </row>
    <row r="93">
      <c r="G93" s="30"/>
    </row>
    <row r="94">
      <c r="G94" s="30"/>
    </row>
    <row r="95">
      <c r="G95" s="30"/>
    </row>
    <row r="96">
      <c r="G96" s="30"/>
    </row>
    <row r="97">
      <c r="G97" s="30"/>
    </row>
    <row r="98">
      <c r="G98" s="30"/>
    </row>
    <row r="99">
      <c r="G99" s="30"/>
    </row>
    <row r="100">
      <c r="G100" s="30"/>
    </row>
    <row r="101">
      <c r="G101" s="30"/>
    </row>
    <row r="102">
      <c r="G102" s="30"/>
    </row>
    <row r="103">
      <c r="G103" s="30"/>
    </row>
    <row r="104">
      <c r="G104" s="30"/>
    </row>
    <row r="105">
      <c r="G105" s="30"/>
    </row>
    <row r="106">
      <c r="G106" s="30"/>
    </row>
    <row r="107">
      <c r="G107" s="30"/>
    </row>
    <row r="108">
      <c r="G108" s="30"/>
    </row>
    <row r="109">
      <c r="G109" s="30"/>
    </row>
    <row r="110">
      <c r="G110" s="30"/>
    </row>
    <row r="111">
      <c r="G111" s="30"/>
    </row>
    <row r="112">
      <c r="G112" s="30"/>
    </row>
    <row r="113">
      <c r="G113" s="30"/>
    </row>
    <row r="114">
      <c r="G114" s="30"/>
    </row>
    <row r="115">
      <c r="G115" s="30"/>
    </row>
    <row r="116">
      <c r="G116" s="30"/>
    </row>
    <row r="117">
      <c r="G117" s="30"/>
    </row>
    <row r="118">
      <c r="G118" s="30"/>
    </row>
    <row r="119">
      <c r="G119" s="30"/>
    </row>
    <row r="120">
      <c r="G120" s="30"/>
    </row>
    <row r="121">
      <c r="G121" s="30"/>
    </row>
    <row r="122">
      <c r="G122" s="30"/>
    </row>
    <row r="123">
      <c r="G123" s="30"/>
    </row>
    <row r="124">
      <c r="G124" s="30"/>
    </row>
    <row r="125">
      <c r="G125" s="30"/>
    </row>
    <row r="126">
      <c r="G126" s="30"/>
    </row>
    <row r="127">
      <c r="G127" s="30"/>
    </row>
    <row r="128">
      <c r="G128" s="30"/>
    </row>
    <row r="129">
      <c r="G129" s="30"/>
    </row>
    <row r="130">
      <c r="G130" s="30"/>
    </row>
    <row r="131">
      <c r="G131" s="30"/>
    </row>
    <row r="132">
      <c r="G132" s="30"/>
    </row>
    <row r="133">
      <c r="G133" s="30"/>
    </row>
    <row r="134">
      <c r="G134" s="30"/>
    </row>
    <row r="135">
      <c r="G135" s="30"/>
    </row>
    <row r="136">
      <c r="G136" s="30"/>
    </row>
    <row r="137">
      <c r="G137" s="30"/>
    </row>
    <row r="138">
      <c r="G138" s="30"/>
    </row>
    <row r="139">
      <c r="G139" s="30"/>
    </row>
    <row r="140">
      <c r="G140" s="30"/>
    </row>
    <row r="141">
      <c r="G141" s="30"/>
    </row>
    <row r="142">
      <c r="G142" s="30"/>
    </row>
    <row r="143">
      <c r="G143" s="30"/>
    </row>
    <row r="144">
      <c r="G144" s="30"/>
    </row>
    <row r="145">
      <c r="G145" s="30"/>
    </row>
    <row r="146">
      <c r="G146" s="30"/>
    </row>
    <row r="147">
      <c r="G147" s="30"/>
    </row>
    <row r="148">
      <c r="G148" s="30"/>
    </row>
    <row r="149">
      <c r="G149" s="30"/>
    </row>
    <row r="150">
      <c r="G150" s="30"/>
    </row>
    <row r="151">
      <c r="G151" s="30"/>
    </row>
    <row r="152">
      <c r="G152" s="30"/>
    </row>
    <row r="153">
      <c r="G153" s="30"/>
    </row>
    <row r="154">
      <c r="G154" s="30"/>
    </row>
    <row r="155">
      <c r="G155" s="30"/>
    </row>
    <row r="156">
      <c r="G156" s="30"/>
    </row>
    <row r="157">
      <c r="G157" s="30"/>
    </row>
    <row r="158">
      <c r="G158" s="30"/>
    </row>
    <row r="159">
      <c r="G159" s="30"/>
    </row>
    <row r="160">
      <c r="G160" s="30"/>
    </row>
    <row r="161">
      <c r="G161" s="30"/>
    </row>
    <row r="162">
      <c r="G162" s="30"/>
    </row>
    <row r="163">
      <c r="G163" s="30"/>
    </row>
    <row r="164">
      <c r="G164" s="30"/>
    </row>
    <row r="165">
      <c r="G165" s="30"/>
    </row>
    <row r="166">
      <c r="G166" s="30"/>
    </row>
    <row r="167">
      <c r="G167" s="30"/>
    </row>
    <row r="168">
      <c r="G168" s="30"/>
    </row>
    <row r="169">
      <c r="G169" s="30"/>
    </row>
    <row r="170">
      <c r="G170" s="30"/>
    </row>
    <row r="171">
      <c r="G171" s="30"/>
    </row>
    <row r="172">
      <c r="G172" s="30"/>
    </row>
    <row r="173">
      <c r="G173" s="30"/>
    </row>
    <row r="174">
      <c r="G174" s="30"/>
    </row>
    <row r="175">
      <c r="G175" s="30"/>
    </row>
    <row r="176">
      <c r="G176" s="30"/>
    </row>
    <row r="177">
      <c r="G177" s="30"/>
    </row>
    <row r="178">
      <c r="G178" s="30"/>
    </row>
    <row r="179">
      <c r="G179" s="30"/>
    </row>
    <row r="180">
      <c r="G180" s="30"/>
    </row>
    <row r="181">
      <c r="G181" s="30"/>
    </row>
  </sheetData>
  <mergeCells>
    <mergeCell ref="A6:A13"/>
    <mergeCell ref="D6:D13"/>
    <mergeCell ref="G16:G17"/>
    <mergeCell ref="G25:G29"/>
    <mergeCell ref="E18:E33"/>
    <mergeCell ref="D15:D17"/>
    <mergeCell ref="A15:A17"/>
    <mergeCell ref="C19:C24"/>
    <mergeCell ref="D34:D38"/>
    <mergeCell ref="A18:A33"/>
    <mergeCell ref="A34:A38"/>
    <mergeCell ref="C30:C32"/>
    <mergeCell ref="C25:C29"/>
    <mergeCell ref="A1:A2"/>
    <mergeCell ref="A4:A5"/>
    <mergeCell ref="G3:AK3"/>
    <mergeCell ref="G1:AJ1"/>
    <mergeCell ref="F1:F2"/>
    <mergeCell ref="E1:E2"/>
    <mergeCell ref="D1:D2"/>
    <mergeCell ref="C1:C2"/>
    <mergeCell ref="B1:B2"/>
    <mergeCell ref="D4:D5"/>
    <mergeCell ref="C6:C7"/>
    <mergeCell ref="C11:C13"/>
    <mergeCell ref="C8:C10"/>
    <mergeCell ref="F16:F17"/>
    <mergeCell ref="F19:F24"/>
    <mergeCell ref="F25:F29"/>
    <mergeCell ref="F30:F32"/>
  </mergeCells>
  <dataValidations count="1">
    <dataValidation allowBlank="true" errorStyle="stop" showErrorMessage="true" sqref="B3:B38" type="list">
      <formula1>"P0,P1,P2"</formula1>
    </dataValidation>
  </dataValidations>
  <hyperlinks>
    <hyperlink ref="F3" display="了解更多" r:id="rId1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